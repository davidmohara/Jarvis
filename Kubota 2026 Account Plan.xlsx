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https://improving-my.sharepoint.com/personal/david_o'hara_improving_com/Documents/IES/"/>
    </mc:Choice>
  </mc:AlternateContent>
  <xr:revisionPtr revIDLastSave="44" documentId="11_44790ADEB3BF1755581ADBC44361B6B9EC305368" xr6:coauthVersionLast="47" xr6:coauthVersionMax="47" xr10:uidLastSave="{F3B609B1-9F1E-3F46-99E2-6CA9425231E7}"/>
  <bookViews>
    <workbookView xWindow="35860" yWindow="-40" windowWidth="30140" windowHeight="16600" tabRatio="500" activeTab="1" xr2:uid="{00000000-000D-0000-FFFF-FFFF00000000}"/>
  </bookViews>
  <sheets>
    <sheet name="Account GTM (Plan) Kubota" sheetId="1" r:id="rId1"/>
    <sheet name="Acct Info &amp; Act - Kubota" sheetId="2" r:id="rId2"/>
    <sheet name="Account 9 Box" sheetId="3" r:id="rId3"/>
    <sheet name="Acct Goals - Medica" sheetId="4" state="hidden" r:id="rId4"/>
    <sheet name="Acct Information - Medica" sheetId="5" state="hidden" r:id="rId5"/>
    <sheet name="Acct Goals  - Sample" sheetId="6" state="hidden" r:id="rId6"/>
    <sheet name="Acct Information - Sample" sheetId="7" state="hidden" r:id="rId7"/>
    <sheet name="Customer Profile" sheetId="8" state="hidden"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7" l="1"/>
  <c r="F2" i="7"/>
  <c r="C2" i="7"/>
  <c r="G4" i="6"/>
  <c r="I2" i="5"/>
  <c r="F2" i="5"/>
  <c r="C2" i="5"/>
  <c r="C130" i="3" a="1"/>
  <c r="C130" i="3" s="1"/>
  <c r="F130" i="3" s="1"/>
  <c r="C129" i="3"/>
  <c r="F129" i="3" s="1"/>
  <c r="F131" i="3" s="1"/>
  <c r="F128" i="3"/>
  <c r="C128" i="3"/>
  <c r="C123" i="3" a="1"/>
  <c r="C123" i="3" s="1"/>
  <c r="F123" i="3" s="1"/>
  <c r="C122" i="3" a="1"/>
  <c r="C122" i="3" s="1"/>
  <c r="F122" i="3" s="1"/>
  <c r="F121" i="3"/>
  <c r="C121" i="3"/>
  <c r="C2" i="2"/>
  <c r="A1" i="2"/>
  <c r="E71" i="1"/>
  <c r="F71" i="1" s="1"/>
  <c r="G71" i="1" s="1"/>
  <c r="H71" i="1" s="1"/>
  <c r="I71" i="1" s="1"/>
  <c r="J71" i="1" s="1"/>
  <c r="K71" i="1" s="1"/>
  <c r="L71" i="1" s="1"/>
  <c r="M71" i="1" s="1"/>
  <c r="N71" i="1" s="1"/>
  <c r="O71" i="1" s="1"/>
  <c r="C69" i="1" a="1"/>
  <c r="C69" i="1" s="1"/>
  <c r="C66" i="1" a="1"/>
  <c r="C66" i="1" s="1"/>
  <c r="C26" i="1" s="1"/>
  <c r="C65" i="1" a="1"/>
  <c r="C65" i="1" s="1"/>
  <c r="C63" i="1" a="1"/>
  <c r="C63" i="1" s="1"/>
  <c r="C60" i="1" a="1"/>
  <c r="C60" i="1" s="1"/>
  <c r="C59" i="1" a="1"/>
  <c r="C59" i="1" s="1"/>
  <c r="K57" i="1"/>
  <c r="G57" i="1"/>
  <c r="O55" i="1"/>
  <c r="N55" i="1"/>
  <c r="M55" i="1"/>
  <c r="L55" i="1"/>
  <c r="K55" i="1"/>
  <c r="J55" i="1"/>
  <c r="I55" i="1"/>
  <c r="H55" i="1"/>
  <c r="G55" i="1"/>
  <c r="F55" i="1"/>
  <c r="E55" i="1"/>
  <c r="D55" i="1"/>
  <c r="C54" i="1" a="1"/>
  <c r="C54" i="1" s="1"/>
  <c r="C52" i="1" a="1"/>
  <c r="C52" i="1" s="1"/>
  <c r="C28" i="1" s="1"/>
  <c r="M50" i="1"/>
  <c r="L50" i="1"/>
  <c r="J50" i="1"/>
  <c r="G50" i="1"/>
  <c r="E50" i="1"/>
  <c r="O49" i="1"/>
  <c r="N49" i="1"/>
  <c r="M49" i="1"/>
  <c r="L49" i="1"/>
  <c r="K49" i="1"/>
  <c r="J49" i="1"/>
  <c r="I49" i="1"/>
  <c r="H49" i="1"/>
  <c r="G49" i="1"/>
  <c r="F49" i="1"/>
  <c r="E49" i="1"/>
  <c r="D49" i="1"/>
  <c r="F48" i="1"/>
  <c r="C68" i="1" s="1" a="1"/>
  <c r="C68" i="1" s="1"/>
  <c r="E48" i="1"/>
  <c r="C67" i="1" s="1" a="1"/>
  <c r="C67" i="1" s="1"/>
  <c r="B42" i="1"/>
  <c r="B26" i="1" s="1"/>
  <c r="B41" i="1"/>
  <c r="E40" i="1"/>
  <c r="D40" i="1"/>
  <c r="F57" i="1" s="1"/>
  <c r="G39" i="1"/>
  <c r="O57" i="1" s="1"/>
  <c r="F39" i="1"/>
  <c r="F40" i="1" s="1"/>
  <c r="E39" i="1"/>
  <c r="H57" i="1" s="1"/>
  <c r="D39" i="1"/>
  <c r="G38" i="1"/>
  <c r="N50" i="1" s="1"/>
  <c r="F38" i="1"/>
  <c r="K50" i="1" s="1"/>
  <c r="E38" i="1"/>
  <c r="I50" i="1" s="1"/>
  <c r="D38" i="1"/>
  <c r="D50" i="1" s="1"/>
  <c r="D37" i="1"/>
  <c r="C32" i="1"/>
  <c r="B32" i="1"/>
  <c r="C31" i="1"/>
  <c r="B31" i="1"/>
  <c r="C30" i="1"/>
  <c r="B30" i="1"/>
  <c r="B29" i="1"/>
  <c r="B28" i="1"/>
  <c r="A26" i="1"/>
  <c r="B25" i="1"/>
  <c r="A25" i="1"/>
  <c r="C24" i="1" a="1"/>
  <c r="C24" i="1" s="1"/>
  <c r="B24" i="1"/>
  <c r="A24" i="1"/>
  <c r="B23" i="1"/>
  <c r="A23" i="1"/>
  <c r="C22" i="1" a="1"/>
  <c r="C22" i="1" s="1"/>
  <c r="B22" i="1"/>
  <c r="A22" i="1"/>
  <c r="B21" i="1"/>
  <c r="A21" i="1"/>
  <c r="C15" i="1"/>
  <c r="D15" i="1" s="1"/>
  <c r="I5" i="1"/>
  <c r="J5" i="1" s="1"/>
  <c r="G5" i="1"/>
  <c r="D5" i="1"/>
  <c r="C8" i="1" l="1"/>
  <c r="B134" i="3"/>
  <c r="F124" i="3"/>
  <c r="G40" i="1"/>
  <c r="O50" i="1"/>
  <c r="I57" i="1"/>
  <c r="C64" i="1" a="1"/>
  <c r="C64" i="1" s="1"/>
  <c r="F50" i="1"/>
  <c r="J57" i="1"/>
  <c r="H50" i="1"/>
  <c r="L57" i="1"/>
  <c r="C61" i="1" a="1"/>
  <c r="C61" i="1" s="1"/>
  <c r="G48" i="1"/>
  <c r="D57" i="1"/>
  <c r="N57" i="1"/>
  <c r="E37" i="1"/>
  <c r="F37" i="1" s="1"/>
  <c r="G37" i="1" s="1"/>
  <c r="C53" i="1" a="1"/>
  <c r="C53" i="1" s="1"/>
  <c r="C29" i="1" s="1"/>
  <c r="C27" i="1" s="1" a="1"/>
  <c r="C27" i="1" s="1"/>
  <c r="E57" i="1"/>
  <c r="C62" i="1" a="1"/>
  <c r="C62" i="1" s="1"/>
  <c r="C25" i="1" s="1"/>
  <c r="M57" i="1"/>
  <c r="C50" i="1" l="1" a="1"/>
  <c r="C50" i="1" s="1"/>
  <c r="C7" i="1"/>
  <c r="C134" i="3"/>
  <c r="C9" i="1" s="1" a="1"/>
  <c r="C9" i="1" s="1"/>
  <c r="H48" i="1"/>
  <c r="I48" i="1" s="1"/>
  <c r="J48" i="1" s="1"/>
  <c r="K48" i="1" s="1"/>
  <c r="L48" i="1" s="1"/>
  <c r="M48" i="1" s="1"/>
  <c r="N48" i="1" s="1"/>
  <c r="O48" i="1" s="1"/>
  <c r="C51" i="1" l="1" a="1"/>
  <c r="C51" i="1" s="1"/>
  <c r="C49" i="1" s="1"/>
  <c r="C21" i="1" s="1"/>
  <c r="C58" i="1" a="1"/>
  <c r="C58" i="1" s="1"/>
  <c r="C57" i="1" a="1"/>
  <c r="C57" i="1" s="1"/>
  <c r="C55" i="1" l="1"/>
  <c r="C23" i="1" s="1"/>
  <c r="C20" i="1" s="1" a="1"/>
  <c r="C20" i="1" s="1"/>
  <c r="C18" i="1" s="1"/>
  <c r="C56" i="1"/>
</calcChain>
</file>

<file path=xl/sharedStrings.xml><?xml version="1.0" encoding="utf-8"?>
<sst xmlns="http://schemas.openxmlformats.org/spreadsheetml/2006/main" count="933" uniqueCount="576">
  <si>
    <t>2026 ACCOUNT GO TO MARKET PLAN FOR:  Kubota Credit Corporation</t>
  </si>
  <si>
    <t>Account Owner</t>
  </si>
  <si>
    <t>Diana Stevens</t>
  </si>
  <si>
    <t>Link to Acct in CRM:</t>
  </si>
  <si>
    <t>Dynamics 365 - Kafka POC Data Migration</t>
  </si>
  <si>
    <t>2025 Revenue</t>
  </si>
  <si>
    <t>2025 Gross Profit</t>
  </si>
  <si>
    <t>2025 GM</t>
  </si>
  <si>
    <t>Q4 2025 Revenue</t>
  </si>
  <si>
    <t>Q4 2025 GP</t>
  </si>
  <si>
    <t>Q4 2025 GM</t>
  </si>
  <si>
    <t>Q4 2025 Daily Revenue</t>
  </si>
  <si>
    <t>Current ARR</t>
  </si>
  <si>
    <t>ACCOUNT: Kubota Credit Corporation</t>
  </si>
  <si>
    <t>ICP Potential</t>
  </si>
  <si>
    <t>2025 Objectives Accomplished</t>
  </si>
  <si>
    <t>ICP Realized</t>
  </si>
  <si>
    <t>ICP State</t>
  </si>
  <si>
    <t>Current Team</t>
  </si>
  <si>
    <t>Number</t>
  </si>
  <si>
    <t>Average Rate USD</t>
  </si>
  <si>
    <t>US/CAN</t>
  </si>
  <si>
    <t>LATAM</t>
  </si>
  <si>
    <t>ASIA</t>
  </si>
  <si>
    <t>ACCOUNT SUMMARY</t>
  </si>
  <si>
    <t>Current Status</t>
  </si>
  <si>
    <t>OVERALL</t>
  </si>
  <si>
    <t>OBJECTIVES</t>
  </si>
  <si>
    <t>KEY ACTIVITES</t>
  </si>
  <si>
    <t>!</t>
  </si>
  <si>
    <t>Account Objective (What)</t>
  </si>
  <si>
    <t>Year End Metric</t>
  </si>
  <si>
    <t>Q1 Metric</t>
  </si>
  <si>
    <t>Q2 Metric</t>
  </si>
  <si>
    <t>Q3 Metric</t>
  </si>
  <si>
    <t>Q4 Metric</t>
  </si>
  <si>
    <t>2027 Forecast</t>
  </si>
  <si>
    <t>NOTES</t>
  </si>
  <si>
    <t>2026 Revenue (YTD) Goal</t>
  </si>
  <si>
    <t>2026 Quarterly Revenue Goal</t>
  </si>
  <si>
    <t>Account to have growth momentum at end of year</t>
  </si>
  <si>
    <t>2026 GM Goal</t>
  </si>
  <si>
    <t>2026 Quarterly GP Goal</t>
  </si>
  <si>
    <t>2nd</t>
  </si>
  <si>
    <t>Key Activities (How)</t>
  </si>
  <si>
    <t>OBJ: 2026 Revenue $150K / Q4 Run-Rate for $400K in 2027</t>
  </si>
  <si>
    <t>Target (YTD)</t>
  </si>
  <si>
    <t>Actual (YTD)</t>
  </si>
  <si>
    <t>ACT: Close Kafka POC ($50K) — CDC proof-of-concept with Confluent</t>
  </si>
  <si>
    <t>ACT: Expand to Phase 2 — Event-driven architecture &amp; Flink processing</t>
  </si>
  <si>
    <t>ACT: Introduce Microsoft Fabric play — 3-way deal with Confluent + MSFT</t>
  </si>
  <si>
    <t>OBJ: 2026 GM of 38%</t>
  </si>
  <si>
    <t>Actual GM</t>
  </si>
  <si>
    <t>Target GP (YTD)</t>
  </si>
  <si>
    <t>Actual GP (YTD)</t>
  </si>
  <si>
    <t>ACT: Staff with senior data engineers (maintain 38%+ margin)</t>
  </si>
  <si>
    <t>ACT: Leverage Confluent partnership for co-delivery / shared resources</t>
  </si>
  <si>
    <t>ACT: Establish fixed-price SOW for Phase 2 to protect margin</t>
  </si>
  <si>
    <t>OBJ: Establish Kubota as reference account for financial services vertical</t>
  </si>
  <si>
    <t>ACT: Deliver POC on time with measurable CDC latency improvements</t>
  </si>
  <si>
    <t>ACT: Get executive sponsor (David Costa, CIO) bought in on Phase 2 roadmap</t>
  </si>
  <si>
    <t>ACT: Publish internal case study for Confluent + Kafka delivery capability</t>
  </si>
  <si>
    <t>OBJ: Expand relationship map — connect with VP Engineering &amp; Data teams</t>
  </si>
  <si>
    <t>ACT: Map Kubota org chart beyond IT — find data team leads</t>
  </si>
  <si>
    <t>ACT: Schedule intro meeting with Improving leadership (Scott McMichael)</t>
  </si>
  <si>
    <t>ACT: Leverage Danny Chanyalew relationship for internal champion building</t>
  </si>
  <si>
    <t xml:space="preserve"> </t>
  </si>
  <si>
    <t>Account Requirements</t>
  </si>
  <si>
    <t>Team Quick Reviews Status</t>
  </si>
  <si>
    <t>2 per year per team member</t>
  </si>
  <si>
    <t>Quick Reviews Scheduled (Date)</t>
  </si>
  <si>
    <t>Scheduled before by 1 Jan OR 1 July)</t>
  </si>
  <si>
    <t>Quick Reviews Conducted (Date)</t>
  </si>
  <si>
    <t>QRs Documented (Date)</t>
  </si>
  <si>
    <t>QRs Reviewed (Date)</t>
  </si>
  <si>
    <t>QRs Discussed (Date)</t>
  </si>
  <si>
    <t>By 30 June or 31 Dec</t>
  </si>
  <si>
    <t>Account Review / QBR (In Person with Sr. Exec) Status</t>
  </si>
  <si>
    <t>2 per year in Person including Improving Senior Executive (President, CEO, etc if in the top 10)</t>
  </si>
  <si>
    <t>AR Scheduled (Date)</t>
  </si>
  <si>
    <t>AR Conducted (Date)</t>
  </si>
  <si>
    <t>AR Documented  (Date)</t>
  </si>
  <si>
    <t>(IF Enterprise Top 10 ) Quarterly President In Person Status</t>
  </si>
  <si>
    <t>Exeptions made ONLY by MD; Can double up with AR</t>
  </si>
  <si>
    <t>QBR Date</t>
  </si>
  <si>
    <t>&lt;Add Customer's Logo here&gt;</t>
  </si>
  <si>
    <t>GENERAL ACCOUNT INFORMATION</t>
  </si>
  <si>
    <t>Account or Prospect?</t>
  </si>
  <si>
    <t>Prospect</t>
  </si>
  <si>
    <t>Annual Revenue:</t>
  </si>
  <si>
    <t>$20.46B (parent Kubota Corp)</t>
  </si>
  <si>
    <t>Number of Employees:</t>
  </si>
  <si>
    <t>~19 (KCC) / 50,000+ (parent)</t>
  </si>
  <si>
    <t>Customer Location:</t>
  </si>
  <si>
    <t>1000 Kubota Dr, Grapevine, TX 76051</t>
  </si>
  <si>
    <t>Enterprise (s)/Office(s):</t>
  </si>
  <si>
    <t>Grapevine TX (HQ), Torrance CA</t>
  </si>
  <si>
    <t>Industry:</t>
  </si>
  <si>
    <t>Financial Services — Equipment Financing</t>
  </si>
  <si>
    <t>Lead Source:</t>
  </si>
  <si>
    <t>Partner Referral — Rob Ogbah / Confluent</t>
  </si>
  <si>
    <t>Initial Contract:</t>
  </si>
  <si>
    <t>Average Contract Duration:</t>
  </si>
  <si>
    <t>Services (Primary):</t>
  </si>
  <si>
    <t>Data Streaming, CDC Implementation, Event-Driven Architecture, Kafka/Confluent, Microsoft Fabric</t>
  </si>
  <si>
    <t>ACCOUNT BUSINESS OVERVIEW AND OBJECTIVES</t>
  </si>
  <si>
    <t>Kubota Credit Corporation (KCC) is the captive financing arm of Kubota Corporation, providing retail financing, wholesale financing, and leasing for Kubota equipment dealers and customers across North America. KCC operates a monolithic loan origination system they are looking to modernize with event-driven architecture using Change Data Capture (CDC) and Confluent Cloud. Immediate opportunity: $50K Kafka POC for data migration, with expansion into Flink stream processing, Microsoft Fabric integration, and AI/automation agents. David O'Hara has prior relationship with Danny Chanyalew from HDFS (Hitachi Dealer Financial Services) days.</t>
  </si>
  <si>
    <t>KEY CONTACTS</t>
  </si>
  <si>
    <t>Name</t>
  </si>
  <si>
    <t>Title</t>
  </si>
  <si>
    <t>Buyer Type</t>
  </si>
  <si>
    <t>Influence (H/M/L)</t>
  </si>
  <si>
    <t>Relationship</t>
  </si>
  <si>
    <t>Actions / Notes</t>
  </si>
  <si>
    <t>David Costa</t>
  </si>
  <si>
    <t>CIO</t>
  </si>
  <si>
    <t>Economic</t>
  </si>
  <si>
    <t>H</t>
  </si>
  <si>
    <t>New — intro via Confluent</t>
  </si>
  <si>
    <t>Executive sponsor. Schedule 1:1 for IT vision and budget cycle.</t>
  </si>
  <si>
    <t>Danny Chanyalew</t>
  </si>
  <si>
    <t>IT (Role TBD)</t>
  </si>
  <si>
    <t>Technical</t>
  </si>
  <si>
    <t>Warm — prior HDFS relationship with David O'Hara</t>
  </si>
  <si>
    <t>Internal champion. Nurture actively.</t>
  </si>
  <si>
    <t>Eric Gregory</t>
  </si>
  <si>
    <t>M</t>
  </si>
  <si>
    <t>Technical evaluator on POC. Ensure he sees value.</t>
  </si>
  <si>
    <t>Rob Ogbah (Confluent)</t>
  </si>
  <si>
    <t>Strategic Account Executive</t>
  </si>
  <si>
    <t>Influencer/Partner</t>
  </si>
  <si>
    <t>Strong — active partner referral</t>
  </si>
  <si>
    <t>Co-sell partner. Keep aligned on POC scope and expansion.</t>
  </si>
  <si>
    <t>Internal</t>
  </si>
  <si>
    <t>COMPETITORS</t>
  </si>
  <si>
    <t>Competitor</t>
  </si>
  <si>
    <t>Notes (Number of Consultants, Services, Rates, etc.)</t>
  </si>
  <si>
    <t>Accenture / Deloitte</t>
  </si>
  <si>
    <t>Large SIs at Kubota Corp parent level. Slower, expensive. Our edge: speed, specialization, local.</t>
  </si>
  <si>
    <t>Slalom</t>
  </si>
  <si>
    <t>DFW presence, data/cloud focus. Differentiate on Confluent partnership depth.</t>
  </si>
  <si>
    <t>CURRENT TECH STACK</t>
  </si>
  <si>
    <t>Type</t>
  </si>
  <si>
    <t>Existing Solution</t>
  </si>
  <si>
    <t>Vendor</t>
  </si>
  <si>
    <t>Satisfaction</t>
  </si>
  <si>
    <t>Actions / Opportunities</t>
  </si>
  <si>
    <t>Cloud Platform</t>
  </si>
  <si>
    <t>Confirm cloud provider during POC discovery. Microsoft Fabric play if Azure.</t>
  </si>
  <si>
    <t>ERP - Mainframe​</t>
  </si>
  <si>
    <t>Monolithic loan origination system (legacy)</t>
  </si>
  <si>
    <t>Core modernization target. CDC to decouple from monolith.</t>
  </si>
  <si>
    <t>Modern APIs​</t>
  </si>
  <si>
    <t>Evaluating event-driven architecture</t>
  </si>
  <si>
    <t>Confluent Cloud + Kafka Connect for CDC. Flink for stream processing.</t>
  </si>
  <si>
    <t>Data​</t>
  </si>
  <si>
    <t>Legacy batch processing pipelines</t>
  </si>
  <si>
    <t>Migrate to real-time streaming. Microsoft Fabric for analytics layer.</t>
  </si>
  <si>
    <t>AI Solutions</t>
  </si>
  <si>
    <t>Early stage / evaluating</t>
  </si>
  <si>
    <t>AI agents for loan processing automation — Phase 3+ opportunity.</t>
  </si>
  <si>
    <t>Development​</t>
  </si>
  <si>
    <t>Microservices architecture consulting opportunity.</t>
  </si>
  <si>
    <t>Training/Coaching​</t>
  </si>
  <si>
    <t>Global Delivery</t>
  </si>
  <si>
    <t>PARTNERSHIP-RELATED ACTIVITIES</t>
  </si>
  <si>
    <t>Partnership</t>
  </si>
  <si>
    <t>Does Client have Tech?</t>
  </si>
  <si>
    <t>Rep Name</t>
  </si>
  <si>
    <t>Relationship w/ Rep</t>
  </si>
  <si>
    <t>Deals Registered?</t>
  </si>
  <si>
    <t>Actions</t>
  </si>
  <si>
    <t>Due Date / Completion Date</t>
  </si>
  <si>
    <t>AWS</t>
  </si>
  <si>
    <t>Confluent</t>
  </si>
  <si>
    <t>Yes — Confluent Cloud (evaluating)</t>
  </si>
  <si>
    <t>Rob Ogbah</t>
  </si>
  <si>
    <t>Strong — active co-sell</t>
  </si>
  <si>
    <t>In progress — Kafka POC</t>
  </si>
  <si>
    <t>Co-deliver POC. Register deal. Explore Flink expansion.</t>
  </si>
  <si>
    <t>Databricks</t>
  </si>
  <si>
    <t>Google</t>
  </si>
  <si>
    <t>Microsoft</t>
  </si>
  <si>
    <t>No</t>
  </si>
  <si>
    <t>SAP</t>
  </si>
  <si>
    <t>Snowflake</t>
  </si>
  <si>
    <t>OFFERING-RELATED ACTIVITIES</t>
  </si>
  <si>
    <t>Offering (Samples - Add others as appropriate)</t>
  </si>
  <si>
    <t>Does this apply to Client?</t>
  </si>
  <si>
    <t>Have we discussed?</t>
  </si>
  <si>
    <t>Due / Completion Date</t>
  </si>
  <si>
    <t>Code Explorer</t>
  </si>
  <si>
    <t>Platform Migration (AWS, GCP, Azure)</t>
  </si>
  <si>
    <t>Not yet</t>
  </si>
  <si>
    <t>Data</t>
  </si>
  <si>
    <t>Yes</t>
  </si>
  <si>
    <t>Training</t>
  </si>
  <si>
    <t>Confluent/Kafka training for Kubota internal teams post-POC.</t>
  </si>
  <si>
    <t>Managed Services</t>
  </si>
  <si>
    <t>Managed Kafka/streaming services after platform is built. Phase 3+.</t>
  </si>
  <si>
    <t>OTHER ACTIVITIES</t>
  </si>
  <si>
    <t>Activity</t>
  </si>
  <si>
    <t>Applies?</t>
  </si>
  <si>
    <t>Discussed?</t>
  </si>
  <si>
    <t>COMPLETED ACTIVITIES</t>
  </si>
  <si>
    <t>Item</t>
  </si>
  <si>
    <t>Completed Date</t>
  </si>
  <si>
    <t>Account</t>
  </si>
  <si>
    <t>Potential</t>
  </si>
  <si>
    <t xml:space="preserve">Best case, what do you think that annual IT services spend could be at this client? </t>
  </si>
  <si>
    <t>What do you think is the maximum average gross margin could be this client?</t>
  </si>
  <si>
    <t>Is the client located in an area where Improving has an office?</t>
  </si>
  <si>
    <t>Y</t>
  </si>
  <si>
    <t>Realized</t>
  </si>
  <si>
    <t>What is the TTM revenue at this client?</t>
  </si>
  <si>
    <t>What is the TTM gross margin at this client?</t>
  </si>
  <si>
    <t>Does our delivery lead or biz dev executive live in the same place as the client buyer?</t>
  </si>
  <si>
    <t>Potential Calculations</t>
  </si>
  <si>
    <t>Potential Weighted Value</t>
  </si>
  <si>
    <t>Geography</t>
  </si>
  <si>
    <t>Value</t>
  </si>
  <si>
    <t>Weighted Value:</t>
  </si>
  <si>
    <t>Geo</t>
  </si>
  <si>
    <t>Revenue</t>
  </si>
  <si>
    <t>Gross Margin</t>
  </si>
  <si>
    <t>GM</t>
  </si>
  <si>
    <t>Revnue:</t>
  </si>
  <si>
    <t>Score</t>
  </si>
  <si>
    <t>Realized Calculations</t>
  </si>
  <si>
    <t>X</t>
  </si>
  <si>
    <t>Measurement Low</t>
  </si>
  <si>
    <t>SIGNIFICANT</t>
  </si>
  <si>
    <t>Revenue Scale</t>
  </si>
  <si>
    <t>POISED</t>
  </si>
  <si>
    <t>IDEAL</t>
  </si>
  <si>
    <t>SOLID</t>
  </si>
  <si>
    <t>CORE</t>
  </si>
  <si>
    <t>STEADY</t>
  </si>
  <si>
    <t>LIMITED</t>
  </si>
  <si>
    <t>CONSTRAINED</t>
  </si>
  <si>
    <t>CAPPED</t>
  </si>
  <si>
    <t>2025 ACCOUNT GO TO MARKET PLAN FOR:  MEDICA</t>
  </si>
  <si>
    <t>Medica Account</t>
  </si>
  <si>
    <t>3.8 Billion</t>
  </si>
  <si>
    <t>Minnetonka, MN</t>
  </si>
  <si>
    <t>Minnesota</t>
  </si>
  <si>
    <t>Heakth Insurance</t>
  </si>
  <si>
    <t>Matt knows Keith Tanski</t>
  </si>
  <si>
    <t>1 Year</t>
  </si>
  <si>
    <t>Active Consultants (#):</t>
  </si>
  <si>
    <t>Peak Consultants (#):</t>
  </si>
  <si>
    <t>Ave Project Gross Margin %:</t>
  </si>
  <si>
    <t>Nearshore - Power BI</t>
  </si>
  <si>
    <t>ACCOUNT SPECIFIC OBJECTIVES (5 Minimum)</t>
  </si>
  <si>
    <t>List Your Account Objectives (Start with overall goal of 2026)</t>
  </si>
  <si>
    <t>Status (Not Started, In Process, On Hold, or Complete)</t>
  </si>
  <si>
    <t>Actions Required to Achieve</t>
  </si>
  <si>
    <t>Overall Goal: The primary goal is to expand from the initial project of updating the delivery framework to expanded work in applications, APIs, Data, and Platform Engineering</t>
  </si>
  <si>
    <t>In Process</t>
  </si>
  <si>
    <t>Programatic look at the account, engaging all services, partners, and delivery methodologies (Nearshore, Offshore)</t>
  </si>
  <si>
    <t>Data: Land the Data Director role</t>
  </si>
  <si>
    <t>Complete</t>
  </si>
  <si>
    <t>SOW in flight, should be signed next week.  Troy Forte</t>
  </si>
  <si>
    <t>API: Land the API/Kafka work</t>
  </si>
  <si>
    <t>RFI responded to on 10/24/25</t>
  </si>
  <si>
    <t>Platform Engineering: Work with Cedric Dean to land platform engineering team</t>
  </si>
  <si>
    <t>Initial meeting on 10/23/25</t>
  </si>
  <si>
    <t>Delivery Framework: Expand team led by Mike Azocar</t>
  </si>
  <si>
    <t>Big Delivery at the end of the year, grow relationship with the decision maker</t>
  </si>
  <si>
    <t>Increase utilization of Nearshore and Offfshore</t>
  </si>
  <si>
    <t>Work with Vishal and Iago to grow their teams</t>
  </si>
  <si>
    <t>Replace CapGemini as #1 PowerBI dashboard partner</t>
  </si>
  <si>
    <t>Continue working with Andy and Penny to execute work of 10 dashboards</t>
  </si>
  <si>
    <t>Land one engagement with a business unit (Not IT)</t>
  </si>
  <si>
    <t>Not Started</t>
  </si>
  <si>
    <t>Need to identify business leader and a specific need</t>
  </si>
  <si>
    <t>Partner with Microsoft and receive funding</t>
  </si>
  <si>
    <t>Started</t>
  </si>
  <si>
    <t>I have identified the MSFT account manager</t>
  </si>
  <si>
    <t>•Increase Account Score from 3.75 to 4.0</t>
  </si>
  <si>
    <t>KEY ACTIVITY METRICS (3 Minimum)</t>
  </si>
  <si>
    <t>Key Metric</t>
  </si>
  <si>
    <t>Status</t>
  </si>
  <si>
    <t>When is this quarter's QBR? (required)</t>
  </si>
  <si>
    <t>Have you scheduled next quarter's QBR? (required - if yes, provide date)</t>
  </si>
  <si>
    <t>Have you completed the Consultant Reviews for this 6 month period? (required)</t>
  </si>
  <si>
    <t>Meet with MSFT, Snowflake, and Confluent Account Teams once per month</t>
  </si>
  <si>
    <t>This will require a specific meeting at Improving offices where we invite the partner and the Improving account team</t>
  </si>
  <si>
    <t xml:space="preserve">Meet with Keith Tanski in person 6 times per year </t>
  </si>
  <si>
    <t>Schedule with Keith's admin.  Agenda developed.  Delivery Director included</t>
  </si>
  <si>
    <t>Reveive over $100k in Partner Funding</t>
  </si>
  <si>
    <t>Wortk with the partner team to develop applications, manage to completion</t>
  </si>
  <si>
    <t>TBD</t>
  </si>
  <si>
    <t>Perform a QBR each quarter</t>
  </si>
  <si>
    <t>Invite Medica IT Leadership, present overall status of projects</t>
  </si>
  <si>
    <t>Invite and arrange trip to offshore or nearshore delivery center</t>
  </si>
  <si>
    <t>Invite Medica IT leadership to a delivery center, arrange travel</t>
  </si>
  <si>
    <t>Onboard a second delivery director due to account demand</t>
  </si>
  <si>
    <t>Generate enough business to justify a second delivery director</t>
  </si>
  <si>
    <t>Maintain account margin of 50%</t>
  </si>
  <si>
    <t>Current margin is 55%</t>
  </si>
  <si>
    <t>None</t>
  </si>
  <si>
    <t>Intro meeting with AWS rep</t>
  </si>
  <si>
    <t>Tony Brinkhaus</t>
  </si>
  <si>
    <t>Strong</t>
  </si>
  <si>
    <t>Close registered Conflunet Cloud deal</t>
  </si>
  <si>
    <t>David Kretsch</t>
  </si>
  <si>
    <t>Close Registered Databricks deal</t>
  </si>
  <si>
    <t>Intro meeting with GCP rep</t>
  </si>
  <si>
    <t>Bryan Haslip</t>
  </si>
  <si>
    <t>Aware</t>
  </si>
  <si>
    <t>Continued conversations on consumption</t>
  </si>
  <si>
    <t>Unknown</t>
  </si>
  <si>
    <t>Find rep (if one exists)</t>
  </si>
  <si>
    <t>Mike Green</t>
  </si>
  <si>
    <t>Close Snowflake work with Iago</t>
  </si>
  <si>
    <t>Offering</t>
  </si>
  <si>
    <t>The current plan is to include CodeExplorer into the delivery methadology of the ongoing data work</t>
  </si>
  <si>
    <t>We are already engaged with the Platform Engineering team</t>
  </si>
  <si>
    <t>Working with Aaron Strey and Mike Schlosser</t>
  </si>
  <si>
    <t>Argentina engaged, 2 SOWs in flight for Pune</t>
  </si>
  <si>
    <t>Underway</t>
  </si>
  <si>
    <t>Training/Coaching with Mike Azocar</t>
  </si>
  <si>
    <t>This will be a part of the PowerBI deliverable (SOW to maintain)</t>
  </si>
  <si>
    <t>Requires Asst From?</t>
  </si>
  <si>
    <t>I would like to set up a healthcare payor conference with a speaker.  Invite Medica, XH, BCBS-MN, UHG, Ucare</t>
  </si>
  <si>
    <t>Kristin Johnson and Steve Banks</t>
  </si>
  <si>
    <t>Need to identify a topic and/or speaker</t>
  </si>
  <si>
    <t>Build upon the POC we are developing</t>
  </si>
  <si>
    <t>Nick Larson and Nick Spilman</t>
  </si>
  <si>
    <t>How do we leverage the work completed for the POC?</t>
  </si>
  <si>
    <t>Landed Data Lead in Troy Forte</t>
  </si>
  <si>
    <t>Open Project</t>
  </si>
  <si>
    <t>Respond to RFI</t>
  </si>
  <si>
    <t>Submited RFI response</t>
  </si>
  <si>
    <t>Customer Name:</t>
  </si>
  <si>
    <t>Account or Prospect</t>
  </si>
  <si>
    <t>Last Updated</t>
  </si>
  <si>
    <t>IDEAL CUSTOMER PROFILE CRITERIA</t>
  </si>
  <si>
    <t>Criteria</t>
  </si>
  <si>
    <t>Ranking</t>
  </si>
  <si>
    <t>Geographic Proximity (# miles)</t>
  </si>
  <si>
    <t>Contract Compatability (&lt;score&gt;)</t>
  </si>
  <si>
    <t>Revenue Potential / Budget (~$X/year)</t>
  </si>
  <si>
    <t>Level of Executive Contact (CIO, VP of Arch)</t>
  </si>
  <si>
    <t>Gross Margin (#%)</t>
  </si>
  <si>
    <t>Service Alignment (&lt;score&gt;)</t>
  </si>
  <si>
    <t>Contract Duration (# months)</t>
  </si>
  <si>
    <t>Cultural Alignment (&lt;score&gt;)</t>
  </si>
  <si>
    <t>Customer Profile Alignment:</t>
  </si>
  <si>
    <t>&lt;Provide your view on how the client fits into the Improving "Ideal Customer Profile" - any concerns or specific areas to highlight?&gt;</t>
  </si>
  <si>
    <t>Keith Tanski</t>
  </si>
  <si>
    <t>High</t>
  </si>
  <si>
    <t>Very Strong</t>
  </si>
  <si>
    <t>Keith is our champion, consistently pushing business to Improving</t>
  </si>
  <si>
    <t>Aaron Strey</t>
  </si>
  <si>
    <t>VP of Data</t>
  </si>
  <si>
    <t>Aaron was a client at Optum, likes our consultants</t>
  </si>
  <si>
    <t>Mike Schlosser</t>
  </si>
  <si>
    <t>VP of A.I.</t>
  </si>
  <si>
    <t>Medium</t>
  </si>
  <si>
    <t>Mike worked with us at Optum but was a teammeber, not a manager</t>
  </si>
  <si>
    <t>Chris Walter</t>
  </si>
  <si>
    <t>VP of Integration</t>
  </si>
  <si>
    <t>Chris is new to Improving but knows our reputation and is giving work</t>
  </si>
  <si>
    <t>Cedric Dean</t>
  </si>
  <si>
    <t>Lead Solution Architect</t>
  </si>
  <si>
    <t>Only 3 meetings but he seems to like us and next meeting we engage on work</t>
  </si>
  <si>
    <t>Andy Dybvig</t>
  </si>
  <si>
    <t>VP of Enterprise Analytics</t>
  </si>
  <si>
    <t>Nearshore team has already demonstrated we are amazing, keep growing</t>
  </si>
  <si>
    <t>Penny Tatman</t>
  </si>
  <si>
    <t>Sr. Director - Enterprise Analytics</t>
  </si>
  <si>
    <t>Jane Ryan</t>
  </si>
  <si>
    <t>VP of Applications</t>
  </si>
  <si>
    <t>Mike Azocar working with Jane but I need to meet and strategize</t>
  </si>
  <si>
    <t>CapGemini</t>
  </si>
  <si>
    <t>CapGemini is the primary IT services vendor to Medica.  They are not considered to be high quality and the strategic direction at Medica is to move away.</t>
  </si>
  <si>
    <t>Perficient</t>
  </si>
  <si>
    <t>Perficient helped with the Digital transformation of Medica in 2024.  This was part of the old CIO's plan.  Perficient is being rolled out</t>
  </si>
  <si>
    <t>Slalom is working on SFDC work.  Not engaged elsewhere</t>
  </si>
  <si>
    <t>Deloitte</t>
  </si>
  <si>
    <t>Deloitte is helping the COO and CMO with some business strategy work</t>
  </si>
  <si>
    <t>MSFT Azure</t>
  </si>
  <si>
    <t>MSFT</t>
  </si>
  <si>
    <t>Very</t>
  </si>
  <si>
    <t>We are partnered with MSFT</t>
  </si>
  <si>
    <t>IBM</t>
  </si>
  <si>
    <t>???</t>
  </si>
  <si>
    <t>MuleSoft</t>
  </si>
  <si>
    <t>SFDC</t>
  </si>
  <si>
    <t>Low</t>
  </si>
  <si>
    <t>We responded to the RFI.  We are taking this work!</t>
  </si>
  <si>
    <t>None/In Development</t>
  </si>
  <si>
    <t>Get A.I. specalist at Medica</t>
  </si>
  <si>
    <t>Replace CapGemini</t>
  </si>
  <si>
    <t>Improving</t>
  </si>
  <si>
    <t>Keep Mike Azocar in 2026</t>
  </si>
  <si>
    <t>Continue getting opportunities</t>
  </si>
  <si>
    <t>Account:</t>
  </si>
  <si>
    <t>&lt;ACCOUNT NAME&gt;</t>
  </si>
  <si>
    <t>&lt;link&gt;</t>
  </si>
  <si>
    <t>2026 Revenue Target:</t>
  </si>
  <si>
    <t>2026 Revenue to Date:</t>
  </si>
  <si>
    <t>Remaining to Target:</t>
  </si>
  <si>
    <t>Last Updated:</t>
  </si>
  <si>
    <t>$6B</t>
  </si>
  <si>
    <t>Madison, WI</t>
  </si>
  <si>
    <t>Chicago</t>
  </si>
  <si>
    <t>Insurance</t>
  </si>
  <si>
    <t>Previous Client at Previous Customer</t>
  </si>
  <si>
    <t>6 months</t>
  </si>
  <si>
    <t>App Dev, FrontEnd, PM/BA, UI/UX</t>
  </si>
  <si>
    <t>ACCOUNT OBJECTIVES (5 Minimum)</t>
  </si>
  <si>
    <t>Account Objective</t>
  </si>
  <si>
    <t>Completion Date</t>
  </si>
  <si>
    <t>1. Expand beyond Data Logistics into a new business area</t>
  </si>
  <si>
    <t>In process</t>
  </si>
  <si>
    <t>Meeting with Michelle - Need introductions to Marcus</t>
  </si>
  <si>
    <t xml:space="preserve">2. Continue to solidify relationships at multiple levels of the organization and in multiple areas </t>
  </si>
  <si>
    <t>Push for more time with Sruthi to see how we can help her in her new role.</t>
  </si>
  <si>
    <t>3. Achieve anchor status and get to $1M in revenue</t>
  </si>
  <si>
    <t>2/2/8/25</t>
  </si>
  <si>
    <t>4. Become a trusted partner where we are the default for future work</t>
  </si>
  <si>
    <t>Hold</t>
  </si>
  <si>
    <t>Data Logistics doesn't have a customer so work is on hold and we haven't moved into new areas</t>
  </si>
  <si>
    <t>5. Get public case study approved by client</t>
  </si>
  <si>
    <t>Amy / Adam to follow up with Patrick to get case study approved</t>
  </si>
  <si>
    <t>&lt;Other Samples&gt;</t>
  </si>
  <si>
    <t>•Raise Rates by 7% by End of Year</t>
  </si>
  <si>
    <t>•Increase Team size by 2 consultants by 30 June 2026</t>
  </si>
  <si>
    <t>•Expand into at least one additional economic buyer within the client by year end.</t>
  </si>
  <si>
    <t xml:space="preserve">•Add Global Delivery capability to our team without </t>
  </si>
  <si>
    <t>•Get public case study approved by client</t>
  </si>
  <si>
    <t>•Meet with 10 additional business units at Director level or higher</t>
  </si>
  <si>
    <t>•Increase Gross Margins from 36.8% to 40.0%</t>
  </si>
  <si>
    <t>•Double Team Size by End of year</t>
  </si>
  <si>
    <t>Due Date</t>
  </si>
  <si>
    <t>Complete meetings with 5 new WPS contacts</t>
  </si>
  <si>
    <t>Met with Michelle for Testing, Andrew, Sruthi in her new role, need meetings with Rochelle and Marcus</t>
  </si>
  <si>
    <t>Complete 10 in person meetings</t>
  </si>
  <si>
    <t>8 In person meetings completed</t>
  </si>
  <si>
    <t>Client Review by internal 3rd party every 6 months (3 months for top 10 account) - REQUIRED</t>
  </si>
  <si>
    <t>3 QBRs completed (including Dave) for 2025 and one scheduled for Nov.</t>
  </si>
  <si>
    <t xml:space="preserve">•Meet with “Decision Maker” in person 6 times per year </t>
  </si>
  <si>
    <t>•Customer meetings per year</t>
  </si>
  <si>
    <t xml:space="preserve">•Client Review by internal 3rd Party Every Six Months, Every 3 months for a top 10 account (Required) </t>
  </si>
  <si>
    <t xml:space="preserve">•Consultant Reviews for every assigned consultant every 6 months (Required) </t>
  </si>
  <si>
    <t>Got rid of this</t>
  </si>
  <si>
    <t>Alesh Bruenwald</t>
  </si>
  <si>
    <t>Working consistently with Alesha - scheduling meeting for Q4 to see status</t>
  </si>
  <si>
    <t>Performed Demo - Bruce and Patrick are discussing - need to push them on this</t>
  </si>
  <si>
    <t>May be considering outsourcing - need to get Bruce to discuss this in more detail</t>
  </si>
  <si>
    <t>Cannot pursue this at this time due to Government contracts</t>
  </si>
  <si>
    <t>N/A</t>
  </si>
  <si>
    <t>Met with Don McGreal, but didn't move forward</t>
  </si>
  <si>
    <t>Need to discuss with Bruce and Patrick - NTT Data may be moving in on this?</t>
  </si>
  <si>
    <t>Cloud Service Provider</t>
  </si>
  <si>
    <t>Application Service Provider</t>
  </si>
  <si>
    <t>Follow up with Ashley/Maggie Q4 on customer experience / Transpformation work.</t>
  </si>
  <si>
    <t>Do ongoing outreach</t>
  </si>
  <si>
    <t>Understand what they were using Databricks for and is there a better solution to achieve the goal (Fabric?)</t>
  </si>
  <si>
    <t>Follow up with Bruce and Patrick to gather more information</t>
  </si>
  <si>
    <t>Get ECIF dollars for WPS - Pending first client signup</t>
  </si>
  <si>
    <t>Pending first DL client - continue to meet with Alesha on this</t>
  </si>
  <si>
    <t>Schedule PowerAutomate Workshop (pending AI hire)</t>
  </si>
  <si>
    <t>Have done outreach - need to continue to follow up with Tony and Patrick</t>
  </si>
  <si>
    <t>Meet with new Health Plan Leader</t>
  </si>
  <si>
    <t>Need Bruce to provide introductions</t>
  </si>
  <si>
    <t>Schedule AI CTO in Madison for WPS and Erdman</t>
  </si>
  <si>
    <t>Get dates from Patrick and Bruce</t>
  </si>
  <si>
    <t>Respond to RFP for IT Assessment</t>
  </si>
  <si>
    <t>Follow up with Patrick on Data Logistics Portal</t>
  </si>
  <si>
    <t>Set up meeting with Sruthi on testing to see what her goals are.  (Done as part of DL project)</t>
  </si>
  <si>
    <t>Complete MSA</t>
  </si>
  <si>
    <t>Update proposal based on platform request</t>
  </si>
  <si>
    <t>Send SOW for updated Discovery phase</t>
  </si>
  <si>
    <t>Reach out to Thomas Cousins for MS Partner</t>
  </si>
  <si>
    <t>SOW for Design / Implementation Phase provided and signed</t>
  </si>
  <si>
    <t>Present proposal for SDLC design guidance &amp; documentation for general and QA approaches - NO - See it as internal role.</t>
  </si>
  <si>
    <t>In Person client visit to Madison by Amy (possibly others) week of Nov. 18th.  Meet with CIO, Bruce Gray on status as well as future opportunities as well as others who might be in town - COMPLETED 12/10</t>
  </si>
  <si>
    <t>Establish Weekly Status Meeting - Fridays</t>
  </si>
  <si>
    <t>Once Azure Admin, register streams - ??  May not be able to register as PAL or POC due to Gov't Tenent</t>
  </si>
  <si>
    <t>Reach out to Sean Keighron re: Ensono - he says they shouldn't be a direct competitor to us</t>
  </si>
  <si>
    <t>Tell MS Rep Alesha about Ensono</t>
  </si>
  <si>
    <t>Check standard language in SOW for PAL for data azure work - not in there.</t>
  </si>
  <si>
    <t>CR for Dev Sprint 2</t>
  </si>
  <si>
    <t>QBR - Planning for end of Jan - Meeting held 1/29</t>
  </si>
  <si>
    <t>Check for training / agile coaching opps for their people?  Introduce Don and Michelle - 1/29</t>
  </si>
  <si>
    <t>Reviewed Temporal to see if it has a fit for DL - No</t>
  </si>
  <si>
    <t>Determine if Global Resourcing can be used for QA - NO</t>
  </si>
  <si>
    <t>Sent Hub City Media to M&amp;A for inquiry</t>
  </si>
  <si>
    <t>Determine how they use consultants - None right now - we are the only "consulting" partner in there outside of managed services work.</t>
  </si>
  <si>
    <t>Follow up on SF vs. Dynamics - can we get more involved in that decision?  Going with SF - Paper to be signed 1/30</t>
  </si>
  <si>
    <t>Meet with person responsible for Customer Experience / Future State</t>
  </si>
  <si>
    <t>Meet with Andrew McCready (QBR) - Still no intro to Rochelle</t>
  </si>
  <si>
    <t>CR for Dev Feb - April</t>
  </si>
  <si>
    <t>Successfully Deliver MVP</t>
  </si>
  <si>
    <t>Send Ashley/Maggie Improving Overview and Staff Aug options</t>
  </si>
  <si>
    <t>Solidify post-MVP work</t>
  </si>
  <si>
    <t>Follow up meeting with Michelle on Training</t>
  </si>
  <si>
    <t>MS to Validate Architecture (pending more details)</t>
  </si>
  <si>
    <t>Bruce Gray</t>
  </si>
  <si>
    <t>Very strong</t>
  </si>
  <si>
    <t>Friendly to improving, definitely an ally, but will need to prove ourselves to him, especially in technical areas.  May have to go to RFP for more things due to Gov't agency status. - Invited to Holiday Party, but cannot attend.    Regroup in Jan 2026.</t>
  </si>
  <si>
    <t>Patrick Sim</t>
  </si>
  <si>
    <t>VP of Architecture</t>
  </si>
  <si>
    <t>Impressed with what he has seen thus far.  Positive Feedback.  Invited to holiday party.  Working on Q4 in person meeting.</t>
  </si>
  <si>
    <t>Sruthi Gujjula</t>
  </si>
  <si>
    <t>Testing Lead</t>
  </si>
  <si>
    <t>May have affiliations to other firms.  Will likely defer to Patrick for buying decision.  Doesn't know Improving's capabilities in this area.</t>
  </si>
  <si>
    <t>Dave Nagrocki</t>
  </si>
  <si>
    <t>Enterprise Architect</t>
  </si>
  <si>
    <t>Average</t>
  </si>
  <si>
    <t>Doesn't know us but participated in Logistics Portal technical discussions</t>
  </si>
  <si>
    <t>Sara Redford</t>
  </si>
  <si>
    <t>Vice President, Enterprise Risk &amp; Business Solutions</t>
  </si>
  <si>
    <t>Limited</t>
  </si>
  <si>
    <t>Running IT Assessment RFP - unclear on her level of influence</t>
  </si>
  <si>
    <t>Jeff Baudhuin</t>
  </si>
  <si>
    <t>Sourcing Manager</t>
  </si>
  <si>
    <t>Procurement person</t>
  </si>
  <si>
    <t>Steve Chamberlain</t>
  </si>
  <si>
    <t>Program Manager</t>
  </si>
  <si>
    <t>High trust with CIO, knows us from HCSC, has been an advocate so far</t>
  </si>
  <si>
    <t>Andrew McCready</t>
  </si>
  <si>
    <t>VP of Data Logistics</t>
  </si>
  <si>
    <t>Will need to keep happy on DL project</t>
  </si>
  <si>
    <t>Rochelle Myers</t>
  </si>
  <si>
    <t>Chief Growth Officer</t>
  </si>
  <si>
    <t>New to Org - Bruce's Business Partner - her buy in is very important</t>
  </si>
  <si>
    <t xml:space="preserve">Tim Tumbleson </t>
  </si>
  <si>
    <t>Head of Technology and Product Delivery - Data Logistics</t>
  </si>
  <si>
    <t>Working closely with us on DL project, but can sometimes be a barrier to getting things done.</t>
  </si>
  <si>
    <t>Michelle Brud</t>
  </si>
  <si>
    <t>Head of Agile Transformation and PMO</t>
  </si>
  <si>
    <t>Bruce sent her our way based on training info I sent - seems open to Training</t>
  </si>
  <si>
    <t>Ashley Lieser</t>
  </si>
  <si>
    <t>Innovation, Experience Design, and Product Strategy</t>
  </si>
  <si>
    <t>New to us, but likes that we have paperwork in place</t>
  </si>
  <si>
    <t>Margaret (Maggie) Crippen</t>
  </si>
  <si>
    <t>Healthcare Strategy and Transformation</t>
  </si>
  <si>
    <t>Taking over for Ashley during her Maternity Leave</t>
  </si>
  <si>
    <t>Marcus Julian</t>
  </si>
  <si>
    <t>Chief Health Plan Officer</t>
  </si>
  <si>
    <t>New to us and to role - Need Bruce to broker an introduction</t>
  </si>
  <si>
    <t>Tony Sebion</t>
  </si>
  <si>
    <t>Architect</t>
  </si>
  <si>
    <t>Leading PowerAutomate initiatives, some AI?</t>
  </si>
  <si>
    <t>Behaim</t>
  </si>
  <si>
    <t>https://www.behaimits.com/ - Currently using for maintainance (not sure where in org), taking over Data Logistics maintenance at low cost (&lt;$85/hr)</t>
  </si>
  <si>
    <t>Nvisia</t>
  </si>
  <si>
    <t>Known resources to CTO - competed for DL work.  Have experience at WPS  (unknown where or in what capacity).  Slightly higher or comparable cost to us.</t>
  </si>
  <si>
    <t>Apex</t>
  </si>
  <si>
    <t>http://apexconsultingservices.us/ 
Was in cluded in DL selection but was highest cost.  Does not appear that they currently work with WPS</t>
  </si>
  <si>
    <t>Ensono</t>
  </si>
  <si>
    <t>Using for Mainframe as a service and looking to move to Infrastructure as a Service.  Should not be a competitor to us for our App Dev services. Confirmed with Sean Keighron (ex Axiom/Ensono)</t>
  </si>
  <si>
    <t>HubCity Media</t>
  </si>
  <si>
    <t>Authentication Company - relying on them to do our user authentication components.  Potential for partnering/acquisition?  Checking with Adam.</t>
  </si>
  <si>
    <t>Azure</t>
  </si>
  <si>
    <t>Considering outsourcing - talking to Ensono</t>
  </si>
  <si>
    <t>Performed Code Explorer Demo - need to follow up</t>
  </si>
  <si>
    <t>Beheim</t>
  </si>
  <si>
    <t>Med</t>
  </si>
  <si>
    <t>Low cost alternative as Data Logistics doesn't have budget</t>
  </si>
  <si>
    <t>Agile</t>
  </si>
  <si>
    <t>Strong internal PMO run by Michelle - have had meetings with Don (they have collegues in common) - Michelle doesn't feel she needs help.</t>
  </si>
  <si>
    <t>Cannot go off shore due to Government tenent and HIPAA constrainst at this time</t>
  </si>
  <si>
    <t>./</t>
  </si>
  <si>
    <t>Java/enterprise stack</t>
  </si>
  <si>
    <t>No rep - confirmed</t>
  </si>
  <si>
    <t>Reach out to PLSR about Fabric/Azure deal</t>
  </si>
  <si>
    <t>Azure migration mentioned in Discovery</t>
  </si>
  <si>
    <t>Kafka. CDC, Confluent Cloud, Flink, Microsoft Fabric.</t>
  </si>
  <si>
    <t>Possibly</t>
  </si>
  <si>
    <t>Signficant alignment with LATAM prior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</si>
</sst>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_);_(@_)"/>
    <numFmt numFmtId="165" formatCode="0.000"/>
    <numFmt numFmtId="166" formatCode="0.0%"/>
    <numFmt numFmtId="167" formatCode="_(\$* #,##0_);_(\$* \(#,##0\);_(\$* \-??_);_(@_)"/>
    <numFmt numFmtId="168" formatCode="m/d/yyyy"/>
    <numFmt numFmtId="169" formatCode="\$#,##0_);[Red]&quot;($&quot;#,##0\)"/>
    <numFmt numFmtId="170" formatCode="0.0000"/>
  </numFmts>
  <fonts count="27" x14ac:knownFonts="1">
    <font>
      <sz val="11"/>
      <color theme="1"/>
      <name val="Aptos Narrow"/>
      <family val="2"/>
      <charset val="1"/>
    </font>
    <font>
      <sz val="12"/>
      <color theme="1"/>
      <name val="Aptos Narrow"/>
      <family val="2"/>
      <charset val="1"/>
    </font>
    <font>
      <b/>
      <sz val="14"/>
      <color theme="0"/>
      <name val="Aptos Narrow"/>
      <family val="2"/>
      <charset val="1"/>
    </font>
    <font>
      <sz val="11"/>
      <color theme="0"/>
      <name val="Aptos Narrow"/>
      <family val="2"/>
      <charset val="1"/>
    </font>
    <font>
      <b/>
      <sz val="11"/>
      <color theme="3" tint="9.9887081514938816E-2"/>
      <name val="Aptos Narrow"/>
      <family val="2"/>
      <charset val="1"/>
    </font>
    <font>
      <sz val="11"/>
      <color theme="3" tint="9.9887081514938816E-2"/>
      <name val="Aptos Narrow"/>
      <family val="2"/>
      <charset val="1"/>
    </font>
    <font>
      <u/>
      <sz val="11"/>
      <color theme="10"/>
      <name val="Aptos Narrow"/>
      <family val="2"/>
      <charset val="1"/>
    </font>
    <font>
      <sz val="12"/>
      <color theme="0"/>
      <name val="Aptos Narrow"/>
      <family val="2"/>
      <charset val="1"/>
    </font>
    <font>
      <sz val="12"/>
      <color rgb="FFFF0000"/>
      <name val="Aptos Narrow"/>
      <family val="2"/>
      <charset val="1"/>
    </font>
    <font>
      <b/>
      <sz val="12"/>
      <color theme="1"/>
      <name val="Aptos Narrow"/>
      <family val="2"/>
      <charset val="1"/>
    </font>
    <font>
      <sz val="10"/>
      <color rgb="FF000000"/>
      <name val="Aptos Narrow"/>
      <family val="2"/>
      <charset val="1"/>
    </font>
    <font>
      <sz val="12"/>
      <color rgb="FFFFC000"/>
      <name val="Aptos Narrow"/>
      <family val="2"/>
      <charset val="1"/>
    </font>
    <font>
      <sz val="12"/>
      <name val="Aptos Narrow"/>
      <family val="2"/>
      <charset val="1"/>
    </font>
    <font>
      <sz val="10"/>
      <color theme="1"/>
      <name val="Aptos Narrow"/>
      <family val="2"/>
      <charset val="1"/>
    </font>
    <font>
      <sz val="10"/>
      <name val="Aptos Narrow"/>
      <family val="2"/>
      <charset val="1"/>
    </font>
    <font>
      <b/>
      <sz val="10"/>
      <name val="Aptos Narrow"/>
      <family val="2"/>
      <charset val="1"/>
    </font>
    <font>
      <b/>
      <sz val="10"/>
      <color theme="1"/>
      <name val="Aptos Narrow"/>
      <family val="2"/>
      <charset val="1"/>
    </font>
    <font>
      <b/>
      <sz val="10"/>
      <color theme="1"/>
      <name val="Calibri"/>
      <family val="2"/>
      <charset val="1"/>
    </font>
    <font>
      <b/>
      <sz val="10"/>
      <color rgb="FF000000"/>
      <name val="Calibri"/>
      <family val="2"/>
      <charset val="1"/>
    </font>
    <font>
      <b/>
      <sz val="11"/>
      <color theme="1"/>
      <name val="Aptos Narrow"/>
      <family val="2"/>
      <charset val="1"/>
    </font>
    <font>
      <sz val="12"/>
      <color theme="1"/>
      <name val="Calibri"/>
      <family val="2"/>
      <charset val="1"/>
    </font>
    <font>
      <i/>
      <sz val="11"/>
      <color theme="1"/>
      <name val="Aptos Narrow"/>
      <family val="2"/>
      <charset val="1"/>
    </font>
    <font>
      <b/>
      <sz val="12"/>
      <color theme="0"/>
      <name val="Aptos Narrow"/>
      <family val="2"/>
      <charset val="1"/>
    </font>
    <font>
      <b/>
      <sz val="18"/>
      <color theme="3" tint="9.9887081514938816E-2"/>
      <name val="Aptos Narrow"/>
      <family val="2"/>
      <charset val="1"/>
    </font>
    <font>
      <sz val="12"/>
      <color theme="3" tint="9.9887081514938816E-2"/>
      <name val="Aptos Narrow"/>
      <family val="2"/>
      <charset val="1"/>
    </font>
    <font>
      <b/>
      <sz val="12"/>
      <color theme="3" tint="9.9887081514938816E-2"/>
      <name val="Aptos Narrow"/>
      <family val="2"/>
      <charset val="1"/>
    </font>
    <font>
      <u/>
      <sz val="10"/>
      <color theme="10"/>
      <name val="Aptos Narrow"/>
      <family val="2"/>
      <charset val="1"/>
    </font>
  </fonts>
  <fills count="16">
    <fill>
      <patternFill patternType="none"/>
    </fill>
    <fill>
      <patternFill patternType="gray125"/>
    </fill>
    <fill>
      <patternFill patternType="solid">
        <fgColor theme="3" tint="9.9887081514938816E-2"/>
        <bgColor rgb="FF092A38"/>
      </patternFill>
    </fill>
    <fill>
      <patternFill patternType="solid">
        <fgColor theme="0"/>
        <bgColor rgb="FFF2F2F2"/>
      </patternFill>
    </fill>
    <fill>
      <patternFill patternType="solid">
        <fgColor theme="0" tint="-0.14999847407452621"/>
        <bgColor rgb="FFE8E8E8"/>
      </patternFill>
    </fill>
    <fill>
      <patternFill patternType="solid">
        <fgColor theme="1"/>
        <bgColor rgb="FF092A38"/>
      </patternFill>
    </fill>
    <fill>
      <patternFill patternType="solid">
        <fgColor theme="3" tint="0.49989318521683401"/>
        <bgColor rgb="FF467886"/>
      </patternFill>
    </fill>
    <fill>
      <patternFill patternType="solid">
        <fgColor theme="3" tint="0.74987029633472702"/>
        <bgColor rgb="FFBFBFBF"/>
      </patternFill>
    </fill>
    <fill>
      <patternFill patternType="solid">
        <fgColor theme="0" tint="-4.9989318521683403E-2"/>
        <bgColor rgb="FFE8E8E8"/>
      </patternFill>
    </fill>
    <fill>
      <patternFill patternType="solid">
        <fgColor theme="3" tint="0.24988555558946501"/>
        <bgColor rgb="FF467886"/>
      </patternFill>
    </fill>
    <fill>
      <patternFill patternType="solid">
        <fgColor theme="1" tint="0.49989318521683401"/>
        <bgColor rgb="FF467886"/>
      </patternFill>
    </fill>
    <fill>
      <patternFill patternType="solid">
        <fgColor theme="2"/>
        <bgColor rgb="FFDCEAF7"/>
      </patternFill>
    </fill>
    <fill>
      <patternFill patternType="solid">
        <fgColor theme="9" tint="-0.249977111117893"/>
        <bgColor rgb="FF467886"/>
      </patternFill>
    </fill>
    <fill>
      <patternFill patternType="solid">
        <fgColor theme="9" tint="0.59987182226020086"/>
        <bgColor rgb="FFC8E774"/>
      </patternFill>
    </fill>
    <fill>
      <patternFill patternType="solid">
        <fgColor rgb="FFFFFFCC"/>
        <bgColor rgb="FFFFFFFF"/>
      </patternFill>
    </fill>
    <fill>
      <patternFill patternType="solid">
        <fgColor theme="3" tint="0.89989928891872917"/>
        <bgColor rgb="FFE8E8E8"/>
      </patternFill>
    </fill>
  </fills>
  <borders count="76">
    <border>
      <left/>
      <right/>
      <top/>
      <bottom/>
      <diagonal/>
    </border>
    <border>
      <left/>
      <right/>
      <top/>
      <bottom style="thick">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right style="medium">
        <color auto="1"/>
      </right>
      <top style="thin">
        <color auto="1"/>
      </top>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medium">
        <color auto="1"/>
      </bottom>
      <diagonal/>
    </border>
    <border>
      <left style="thick">
        <color auto="1"/>
      </left>
      <right style="thick">
        <color auto="1"/>
      </right>
      <top style="thin">
        <color auto="1"/>
      </top>
      <bottom style="thin">
        <color auto="1"/>
      </bottom>
      <diagonal/>
    </border>
    <border>
      <left style="thick">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ck">
        <color auto="1"/>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thin">
        <color auto="1"/>
      </left>
      <right/>
      <top style="thin">
        <color auto="1"/>
      </top>
      <bottom/>
      <diagonal/>
    </border>
    <border>
      <left/>
      <right/>
      <top style="thin">
        <color auto="1"/>
      </top>
      <bottom/>
      <diagonal/>
    </border>
    <border>
      <left/>
      <right style="thick">
        <color auto="1"/>
      </right>
      <top style="thin">
        <color auto="1"/>
      </top>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ck">
        <color auto="1"/>
      </right>
      <top style="thin">
        <color auto="1"/>
      </top>
      <bottom/>
      <diagonal/>
    </border>
    <border>
      <left style="thick">
        <color auto="1"/>
      </left>
      <right style="thin">
        <color auto="1"/>
      </right>
      <top style="thin">
        <color auto="1"/>
      </top>
      <bottom/>
      <diagonal/>
    </border>
    <border>
      <left style="thin">
        <color auto="1"/>
      </left>
      <right style="thin">
        <color auto="1"/>
      </right>
      <top/>
      <bottom style="thin">
        <color auto="1"/>
      </bottom>
      <diagonal/>
    </border>
    <border>
      <left style="thick">
        <color auto="1"/>
      </left>
      <right style="thick">
        <color auto="1"/>
      </right>
      <top/>
      <bottom style="thin">
        <color auto="1"/>
      </bottom>
      <diagonal/>
    </border>
    <border>
      <left style="thin">
        <color auto="1"/>
      </left>
      <right style="thick">
        <color auto="1"/>
      </right>
      <top style="thin">
        <color auto="1"/>
      </top>
      <bottom/>
      <diagonal/>
    </border>
    <border>
      <left style="thick">
        <color auto="1"/>
      </left>
      <right/>
      <top/>
      <bottom style="thin">
        <color auto="1"/>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n">
        <color auto="1"/>
      </left>
      <right style="thick">
        <color auto="1"/>
      </right>
      <top/>
      <bottom style="thick">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thick">
        <color auto="1"/>
      </top>
      <bottom/>
      <diagonal/>
    </border>
    <border>
      <left/>
      <right style="thick">
        <color auto="1"/>
      </right>
      <top style="thick">
        <color auto="1"/>
      </top>
      <bottom/>
      <diagonal/>
    </border>
    <border>
      <left/>
      <right style="thick">
        <color auto="1"/>
      </right>
      <top/>
      <bottom style="medium">
        <color auto="1"/>
      </bottom>
      <diagonal/>
    </border>
    <border>
      <left/>
      <right style="thick">
        <color auto="1"/>
      </right>
      <top style="thin">
        <color auto="1"/>
      </top>
      <bottom style="thin">
        <color auto="1"/>
      </bottom>
      <diagonal/>
    </border>
    <border>
      <left/>
      <right style="thick">
        <color auto="1"/>
      </right>
      <top/>
      <bottom style="thin">
        <color auto="1"/>
      </bottom>
      <diagonal/>
    </border>
    <border>
      <left/>
      <right style="thin">
        <color auto="1"/>
      </right>
      <top/>
      <bottom style="thick">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style="medium">
        <color auto="1"/>
      </bottom>
      <diagonal/>
    </border>
  </borders>
  <cellStyleXfs count="4">
    <xf numFmtId="0" fontId="0" fillId="0" borderId="0"/>
    <xf numFmtId="164" fontId="1" fillId="0" borderId="0"/>
    <xf numFmtId="0" fontId="1" fillId="0" borderId="0"/>
    <xf numFmtId="9" fontId="1" fillId="0" borderId="0"/>
  </cellStyleXfs>
  <cellXfs count="402">
    <xf numFmtId="0" fontId="0" fillId="0" borderId="0" xfId="0"/>
    <xf numFmtId="0" fontId="1" fillId="0" borderId="0" xfId="0" applyFont="1"/>
    <xf numFmtId="0" fontId="2" fillId="2" borderId="1" xfId="0" applyFont="1" applyFill="1" applyBorder="1" applyAlignment="1">
      <alignment horizontal="left" vertical="center"/>
    </xf>
    <xf numFmtId="0" fontId="3" fillId="2" borderId="1" xfId="0" applyFont="1" applyFill="1" applyBorder="1"/>
    <xf numFmtId="0" fontId="0" fillId="3" borderId="0" xfId="0" applyFill="1"/>
    <xf numFmtId="0" fontId="4" fillId="3" borderId="0" xfId="0" applyFont="1" applyFill="1" applyAlignment="1">
      <alignment vertical="center"/>
    </xf>
    <xf numFmtId="0" fontId="4" fillId="4" borderId="0" xfId="0" applyFont="1" applyFill="1" applyAlignment="1">
      <alignment vertical="center"/>
    </xf>
    <xf numFmtId="0" fontId="5" fillId="3" borderId="0" xfId="0" applyFont="1" applyFill="1"/>
    <xf numFmtId="0" fontId="0" fillId="3" borderId="0" xfId="0" applyFill="1" applyAlignment="1">
      <alignment vertical="center"/>
    </xf>
    <xf numFmtId="0" fontId="4" fillId="3" borderId="0" xfId="0" applyFont="1" applyFill="1"/>
    <xf numFmtId="0" fontId="6" fillId="4" borderId="0" xfId="0" applyFont="1" applyFill="1" applyAlignment="1">
      <alignment vertical="center"/>
    </xf>
    <xf numFmtId="0" fontId="6" fillId="3" borderId="0" xfId="0" applyFont="1" applyFill="1" applyAlignment="1">
      <alignment vertical="center"/>
    </xf>
    <xf numFmtId="0" fontId="0" fillId="3" borderId="0" xfId="0" applyFill="1" applyAlignment="1">
      <alignment horizontal="center" vertical="center"/>
    </xf>
    <xf numFmtId="0" fontId="1" fillId="0" borderId="2" xfId="0" applyFont="1" applyBorder="1"/>
    <xf numFmtId="0" fontId="7" fillId="5" borderId="3" xfId="0" applyFont="1" applyFill="1" applyBorder="1" applyAlignment="1">
      <alignment horizontal="center"/>
    </xf>
    <xf numFmtId="0" fontId="7" fillId="5" borderId="4" xfId="0" applyFont="1" applyFill="1" applyBorder="1" applyAlignment="1">
      <alignment horizontal="center"/>
    </xf>
    <xf numFmtId="0" fontId="1" fillId="6" borderId="5" xfId="0" applyFont="1" applyFill="1" applyBorder="1"/>
    <xf numFmtId="164" fontId="0" fillId="4" borderId="6" xfId="0" applyNumberFormat="1" applyFill="1" applyBorder="1"/>
    <xf numFmtId="164" fontId="0" fillId="0" borderId="6" xfId="0" applyNumberFormat="1" applyBorder="1"/>
    <xf numFmtId="9" fontId="0" fillId="4" borderId="6" xfId="0" applyNumberFormat="1" applyFill="1" applyBorder="1"/>
    <xf numFmtId="164" fontId="0" fillId="0" borderId="7" xfId="0" applyNumberFormat="1" applyBorder="1"/>
    <xf numFmtId="0" fontId="8" fillId="0" borderId="0" xfId="0" applyFont="1"/>
    <xf numFmtId="165" fontId="1" fillId="0" borderId="4" xfId="0" applyNumberFormat="1" applyFont="1" applyBorder="1"/>
    <xf numFmtId="0" fontId="1" fillId="0" borderId="9" xfId="0" applyFont="1" applyBorder="1"/>
    <xf numFmtId="2" fontId="1" fillId="0" borderId="10" xfId="0" applyNumberFormat="1" applyFont="1" applyBorder="1"/>
    <xf numFmtId="0" fontId="1" fillId="0" borderId="5" xfId="0" applyFont="1" applyBorder="1"/>
    <xf numFmtId="0" fontId="9" fillId="0" borderId="7" xfId="0" applyFont="1" applyBorder="1" applyAlignment="1">
      <alignment horizontal="right"/>
    </xf>
    <xf numFmtId="0" fontId="1" fillId="6" borderId="2" xfId="0" applyFont="1" applyFill="1" applyBorder="1"/>
    <xf numFmtId="0" fontId="7" fillId="5" borderId="3" xfId="0" applyFont="1" applyFill="1" applyBorder="1"/>
    <xf numFmtId="0" fontId="7" fillId="5" borderId="4" xfId="0" applyFont="1" applyFill="1" applyBorder="1"/>
    <xf numFmtId="0" fontId="1" fillId="0" borderId="9" xfId="0" applyFont="1" applyBorder="1" applyAlignment="1">
      <alignment horizontal="left" indent="1"/>
    </xf>
    <xf numFmtId="0" fontId="1" fillId="8" borderId="0" xfId="0" applyFont="1" applyFill="1"/>
    <xf numFmtId="164" fontId="0" fillId="8" borderId="10" xfId="0" applyNumberFormat="1" applyFill="1" applyBorder="1"/>
    <xf numFmtId="0" fontId="1" fillId="0" borderId="13" xfId="0" applyFont="1" applyBorder="1" applyAlignment="1">
      <alignment horizontal="left" indent="1"/>
    </xf>
    <xf numFmtId="0" fontId="1" fillId="8" borderId="14" xfId="0" applyFont="1" applyFill="1" applyBorder="1"/>
    <xf numFmtId="164" fontId="0" fillId="8" borderId="15" xfId="0" applyNumberFormat="1" applyFill="1" applyBorder="1"/>
    <xf numFmtId="0" fontId="1" fillId="0" borderId="6" xfId="0" applyFont="1" applyBorder="1"/>
    <xf numFmtId="164" fontId="1" fillId="0" borderId="7" xfId="0" applyNumberFormat="1" applyFont="1" applyBorder="1"/>
    <xf numFmtId="164" fontId="1" fillId="0" borderId="0" xfId="0" applyNumberFormat="1" applyFont="1"/>
    <xf numFmtId="0" fontId="7" fillId="5" borderId="2" xfId="0" applyFont="1" applyFill="1" applyBorder="1"/>
    <xf numFmtId="0" fontId="7" fillId="9" borderId="16" xfId="0" applyFont="1" applyFill="1" applyBorder="1" applyAlignment="1">
      <alignment horizontal="left"/>
    </xf>
    <xf numFmtId="0" fontId="10" fillId="0" borderId="17" xfId="0" applyFont="1" applyBorder="1" applyAlignment="1">
      <alignment horizontal="center" vertical="center"/>
    </xf>
    <xf numFmtId="0" fontId="11" fillId="0" borderId="0" xfId="0" applyFont="1"/>
    <xf numFmtId="0" fontId="7" fillId="2" borderId="16" xfId="0" applyFont="1" applyFill="1" applyBorder="1"/>
    <xf numFmtId="0" fontId="1" fillId="0" borderId="0" xfId="0" applyFont="1" applyAlignment="1">
      <alignment horizontal="center"/>
    </xf>
    <xf numFmtId="0" fontId="1" fillId="0" borderId="18" xfId="0" applyFont="1" applyBorder="1"/>
    <xf numFmtId="0" fontId="10" fillId="0" borderId="19" xfId="0" applyFont="1" applyBorder="1" applyAlignment="1">
      <alignment horizontal="center" vertical="center"/>
    </xf>
    <xf numFmtId="0" fontId="1" fillId="0" borderId="18" xfId="0" applyFont="1" applyBorder="1" applyAlignment="1">
      <alignment horizontal="left" indent="1"/>
    </xf>
    <xf numFmtId="0" fontId="10" fillId="0" borderId="19" xfId="0" applyFont="1" applyBorder="1" applyAlignment="1">
      <alignment horizontal="center" vertical="center" wrapText="1"/>
    </xf>
    <xf numFmtId="0" fontId="1" fillId="0" borderId="18" xfId="0" applyFont="1" applyBorder="1" applyAlignment="1">
      <alignment horizontal="left"/>
    </xf>
    <xf numFmtId="164" fontId="0" fillId="0" borderId="0" xfId="0" applyNumberFormat="1"/>
    <xf numFmtId="0" fontId="1" fillId="0" borderId="20" xfId="0" applyFont="1" applyBorder="1" applyAlignment="1">
      <alignment horizontal="left"/>
    </xf>
    <xf numFmtId="0" fontId="10" fillId="0" borderId="21" xfId="0" applyFont="1" applyBorder="1" applyAlignment="1">
      <alignment horizontal="center" vertical="center"/>
    </xf>
    <xf numFmtId="0" fontId="1" fillId="0" borderId="0" xfId="0" applyFont="1" applyAlignment="1">
      <alignment horizontal="left" indent="1"/>
    </xf>
    <xf numFmtId="9" fontId="1" fillId="0" borderId="0" xfId="0" applyNumberFormat="1" applyFont="1"/>
    <xf numFmtId="0" fontId="7" fillId="5" borderId="3" xfId="0" applyFont="1" applyFill="1" applyBorder="1" applyAlignment="1">
      <alignment horizontal="left"/>
    </xf>
    <xf numFmtId="0" fontId="7" fillId="10" borderId="3" xfId="0" applyFont="1" applyFill="1" applyBorder="1"/>
    <xf numFmtId="0" fontId="7" fillId="5" borderId="4" xfId="0" applyFont="1" applyFill="1" applyBorder="1" applyAlignment="1">
      <alignment horizontal="left"/>
    </xf>
    <xf numFmtId="164" fontId="0" fillId="4" borderId="0" xfId="0" applyNumberFormat="1" applyFill="1"/>
    <xf numFmtId="164" fontId="1" fillId="4" borderId="22" xfId="0" applyNumberFormat="1" applyFont="1" applyFill="1" applyBorder="1"/>
    <xf numFmtId="0" fontId="1" fillId="4" borderId="10" xfId="0" applyFont="1" applyFill="1" applyBorder="1" applyAlignment="1">
      <alignment horizontal="left"/>
    </xf>
    <xf numFmtId="166" fontId="1" fillId="4" borderId="0" xfId="0" applyNumberFormat="1" applyFont="1" applyFill="1"/>
    <xf numFmtId="166" fontId="1" fillId="0" borderId="0" xfId="0" applyNumberFormat="1" applyFont="1"/>
    <xf numFmtId="0" fontId="1" fillId="4" borderId="0" xfId="0" applyFont="1" applyFill="1"/>
    <xf numFmtId="0" fontId="1" fillId="0" borderId="9" xfId="0" applyFont="1" applyBorder="1" applyAlignment="1">
      <alignment horizontal="left"/>
    </xf>
    <xf numFmtId="0" fontId="1" fillId="0" borderId="5" xfId="0" applyFont="1" applyBorder="1" applyAlignment="1">
      <alignment horizontal="left"/>
    </xf>
    <xf numFmtId="0" fontId="1" fillId="4" borderId="6" xfId="0" applyFont="1" applyFill="1" applyBorder="1"/>
    <xf numFmtId="0" fontId="1" fillId="4" borderId="6" xfId="0" applyFont="1" applyFill="1" applyBorder="1" applyAlignment="1">
      <alignment horizontal="left"/>
    </xf>
    <xf numFmtId="0" fontId="1" fillId="4" borderId="7" xfId="0" applyFont="1" applyFill="1" applyBorder="1" applyAlignment="1">
      <alignment horizontal="left"/>
    </xf>
    <xf numFmtId="0" fontId="1" fillId="0" borderId="0" xfId="0" applyFont="1" applyAlignment="1">
      <alignment horizontal="left"/>
    </xf>
    <xf numFmtId="17" fontId="7" fillId="5" borderId="3" xfId="0" applyNumberFormat="1" applyFont="1" applyFill="1" applyBorder="1"/>
    <xf numFmtId="0" fontId="10" fillId="0" borderId="0" xfId="0" applyFont="1" applyAlignment="1">
      <alignment horizontal="center" vertical="center"/>
    </xf>
    <xf numFmtId="167" fontId="13" fillId="0" borderId="0" xfId="0" applyNumberFormat="1" applyFont="1" applyAlignment="1">
      <alignment horizontal="center"/>
    </xf>
    <xf numFmtId="167" fontId="13" fillId="0" borderId="9" xfId="0" applyNumberFormat="1" applyFont="1" applyBorder="1" applyAlignment="1">
      <alignment horizontal="right"/>
    </xf>
    <xf numFmtId="167" fontId="10" fillId="0" borderId="0" xfId="0" applyNumberFormat="1" applyFont="1" applyAlignment="1">
      <alignment horizontal="center" vertical="center"/>
    </xf>
    <xf numFmtId="167" fontId="13" fillId="4" borderId="0" xfId="0" applyNumberFormat="1" applyFont="1" applyFill="1" applyAlignment="1">
      <alignment horizontal="left"/>
    </xf>
    <xf numFmtId="167" fontId="13" fillId="4" borderId="10" xfId="0" applyNumberFormat="1" applyFont="1" applyFill="1" applyBorder="1" applyAlignment="1">
      <alignment horizontal="left"/>
    </xf>
    <xf numFmtId="167" fontId="13" fillId="0" borderId="0" xfId="0" applyNumberFormat="1" applyFont="1"/>
    <xf numFmtId="167" fontId="13" fillId="4" borderId="0" xfId="0" applyNumberFormat="1" applyFont="1" applyFill="1"/>
    <xf numFmtId="0" fontId="1" fillId="4" borderId="9" xfId="0" applyFont="1" applyFill="1" applyBorder="1" applyAlignment="1">
      <alignment horizontal="left" indent="1"/>
    </xf>
    <xf numFmtId="0" fontId="10" fillId="4" borderId="0" xfId="0" applyFont="1" applyFill="1" applyAlignment="1">
      <alignment horizontal="center" vertical="center"/>
    </xf>
    <xf numFmtId="9" fontId="1" fillId="0" borderId="0" xfId="0" applyNumberFormat="1" applyFont="1" applyAlignment="1">
      <alignment horizontal="center"/>
    </xf>
    <xf numFmtId="9" fontId="13" fillId="0" borderId="9" xfId="0" applyNumberFormat="1" applyFont="1" applyBorder="1" applyAlignment="1">
      <alignment horizontal="right"/>
    </xf>
    <xf numFmtId="9" fontId="10" fillId="0" borderId="0" xfId="0" applyNumberFormat="1" applyFont="1" applyAlignment="1">
      <alignment horizontal="center" vertical="center"/>
    </xf>
    <xf numFmtId="9" fontId="1" fillId="4" borderId="0" xfId="0" applyNumberFormat="1" applyFont="1" applyFill="1" applyAlignment="1">
      <alignment horizontal="left"/>
    </xf>
    <xf numFmtId="9" fontId="1" fillId="4" borderId="10" xfId="0" applyNumberFormat="1" applyFont="1" applyFill="1" applyBorder="1" applyAlignment="1">
      <alignment horizontal="left"/>
    </xf>
    <xf numFmtId="0" fontId="1" fillId="4" borderId="9" xfId="0" applyFont="1" applyFill="1" applyBorder="1" applyAlignment="1">
      <alignment horizontal="left"/>
    </xf>
    <xf numFmtId="0" fontId="1" fillId="4" borderId="5" xfId="0" applyFont="1" applyFill="1" applyBorder="1" applyAlignment="1">
      <alignment horizontal="left" indent="1"/>
    </xf>
    <xf numFmtId="0" fontId="10" fillId="0" borderId="6" xfId="0" applyFont="1" applyBorder="1" applyAlignment="1">
      <alignment horizontal="center" vertical="center"/>
    </xf>
    <xf numFmtId="0" fontId="10" fillId="4" borderId="6" xfId="0" applyFont="1" applyFill="1" applyBorder="1" applyAlignment="1">
      <alignment horizontal="center" vertical="center"/>
    </xf>
    <xf numFmtId="0" fontId="1" fillId="4" borderId="0" xfId="0" applyFont="1" applyFill="1" applyAlignment="1">
      <alignment horizontal="left"/>
    </xf>
    <xf numFmtId="168" fontId="10" fillId="4" borderId="0" xfId="0" applyNumberFormat="1" applyFont="1" applyFill="1" applyAlignment="1">
      <alignment horizontal="center" vertical="center"/>
    </xf>
    <xf numFmtId="0" fontId="1" fillId="0" borderId="23" xfId="0" applyFont="1" applyBorder="1" applyAlignment="1">
      <alignment horizontal="left" indent="1"/>
    </xf>
    <xf numFmtId="0" fontId="10" fillId="0" borderId="24" xfId="0" applyFont="1" applyBorder="1" applyAlignment="1">
      <alignment horizontal="center" vertical="center"/>
    </xf>
    <xf numFmtId="168" fontId="10" fillId="4" borderId="24" xfId="0" applyNumberFormat="1" applyFont="1" applyFill="1" applyBorder="1" applyAlignment="1">
      <alignment horizontal="center" vertical="center"/>
    </xf>
    <xf numFmtId="0" fontId="1" fillId="0" borderId="5" xfId="0" applyFont="1" applyBorder="1" applyAlignment="1">
      <alignment horizontal="left" indent="1"/>
    </xf>
    <xf numFmtId="168" fontId="10" fillId="4" borderId="6" xfId="0" applyNumberFormat="1" applyFont="1" applyFill="1" applyBorder="1" applyAlignment="1">
      <alignment horizontal="center" vertical="center"/>
    </xf>
    <xf numFmtId="0" fontId="1" fillId="4" borderId="7" xfId="0" applyFont="1" applyFill="1" applyBorder="1"/>
    <xf numFmtId="0" fontId="0" fillId="4" borderId="0" xfId="0" applyFill="1"/>
    <xf numFmtId="0" fontId="0" fillId="11" borderId="0" xfId="0" applyFill="1"/>
    <xf numFmtId="0" fontId="2" fillId="2" borderId="0" xfId="0" applyFont="1" applyFill="1" applyAlignment="1">
      <alignment vertical="center"/>
    </xf>
    <xf numFmtId="0" fontId="2" fillId="2" borderId="0" xfId="0" applyFont="1" applyFill="1" applyAlignment="1">
      <alignment horizontal="left" vertical="center"/>
    </xf>
    <xf numFmtId="0" fontId="3" fillId="2" borderId="0" xfId="0" applyFont="1" applyFill="1"/>
    <xf numFmtId="0" fontId="0" fillId="0" borderId="0" xfId="0" applyAlignment="1">
      <alignment vertical="center"/>
    </xf>
    <xf numFmtId="0" fontId="13" fillId="7" borderId="28" xfId="0" applyFont="1" applyFill="1" applyBorder="1" applyAlignment="1">
      <alignment wrapText="1"/>
    </xf>
    <xf numFmtId="0" fontId="0" fillId="3" borderId="0" xfId="0" applyFill="1" applyAlignment="1">
      <alignment horizontal="left"/>
    </xf>
    <xf numFmtId="0" fontId="13" fillId="7" borderId="0" xfId="0" applyFont="1" applyFill="1"/>
    <xf numFmtId="0" fontId="13" fillId="3" borderId="0" xfId="0" applyFont="1" applyFill="1" applyAlignment="1">
      <alignment horizontal="left"/>
    </xf>
    <xf numFmtId="3" fontId="13" fillId="3" borderId="0" xfId="0" applyNumberFormat="1" applyFont="1" applyFill="1" applyAlignment="1">
      <alignment horizontal="left"/>
    </xf>
    <xf numFmtId="168" fontId="13" fillId="3" borderId="29" xfId="0" applyNumberFormat="1" applyFont="1" applyFill="1" applyBorder="1" applyAlignment="1">
      <alignment horizontal="left"/>
    </xf>
    <xf numFmtId="0" fontId="0" fillId="7" borderId="28" xfId="0" applyFill="1" applyBorder="1"/>
    <xf numFmtId="0" fontId="13" fillId="7" borderId="0" xfId="0" applyFont="1" applyFill="1" applyAlignment="1">
      <alignment wrapText="1"/>
    </xf>
    <xf numFmtId="168" fontId="13" fillId="3" borderId="0" xfId="0" applyNumberFormat="1" applyFont="1" applyFill="1" applyAlignment="1">
      <alignment horizontal="left"/>
    </xf>
    <xf numFmtId="0" fontId="13" fillId="7" borderId="28" xfId="0" applyFont="1" applyFill="1" applyBorder="1"/>
    <xf numFmtId="0" fontId="0" fillId="7" borderId="0" xfId="0" applyFill="1"/>
    <xf numFmtId="0" fontId="13" fillId="3" borderId="0" xfId="0" applyFont="1" applyFill="1"/>
    <xf numFmtId="169" fontId="0" fillId="3" borderId="0" xfId="0" applyNumberFormat="1" applyFill="1" applyAlignment="1">
      <alignment horizontal="left"/>
    </xf>
    <xf numFmtId="0" fontId="0" fillId="3" borderId="29" xfId="0" applyFill="1" applyBorder="1"/>
    <xf numFmtId="0" fontId="0" fillId="4" borderId="28" xfId="0" applyFill="1" applyBorder="1"/>
    <xf numFmtId="0" fontId="13" fillId="4" borderId="0" xfId="0" applyFont="1" applyFill="1" applyAlignment="1">
      <alignment horizontal="left"/>
    </xf>
    <xf numFmtId="0" fontId="13" fillId="4" borderId="0" xfId="0" applyFont="1" applyFill="1"/>
    <xf numFmtId="0" fontId="13" fillId="4" borderId="0" xfId="0" applyFont="1" applyFill="1" applyAlignment="1">
      <alignment horizontal="left" wrapText="1"/>
    </xf>
    <xf numFmtId="0" fontId="13" fillId="4" borderId="0" xfId="0" applyFont="1" applyFill="1" applyAlignment="1">
      <alignment wrapText="1"/>
    </xf>
    <xf numFmtId="0" fontId="0" fillId="4" borderId="29" xfId="0" applyFill="1" applyBorder="1"/>
    <xf numFmtId="0" fontId="0" fillId="4" borderId="0" xfId="0" applyFill="1" applyAlignment="1">
      <alignment horizontal="left"/>
    </xf>
    <xf numFmtId="0" fontId="0" fillId="11" borderId="0" xfId="0" applyFill="1" applyAlignment="1">
      <alignment horizontal="left"/>
    </xf>
    <xf numFmtId="0" fontId="6" fillId="0" borderId="0" xfId="0" applyFont="1" applyAlignment="1">
      <alignment horizontal="left"/>
    </xf>
    <xf numFmtId="0" fontId="0" fillId="0" borderId="0" xfId="0" applyAlignment="1">
      <alignment horizontal="left"/>
    </xf>
    <xf numFmtId="0" fontId="15" fillId="7" borderId="33" xfId="0" applyFont="1" applyFill="1" applyBorder="1"/>
    <xf numFmtId="0" fontId="16" fillId="7" borderId="34" xfId="0" applyFont="1" applyFill="1" applyBorder="1"/>
    <xf numFmtId="0" fontId="16" fillId="7" borderId="0" xfId="0" applyFont="1" applyFill="1"/>
    <xf numFmtId="0" fontId="16" fillId="7" borderId="35" xfId="0" applyFont="1" applyFill="1" applyBorder="1" applyAlignment="1">
      <alignment horizontal="left"/>
    </xf>
    <xf numFmtId="0" fontId="16" fillId="7" borderId="0" xfId="0" applyFont="1" applyFill="1" applyAlignment="1">
      <alignment horizontal="left" wrapText="1"/>
    </xf>
    <xf numFmtId="0" fontId="16" fillId="7" borderId="0" xfId="0" applyFont="1" applyFill="1" applyAlignment="1">
      <alignment horizontal="center"/>
    </xf>
    <xf numFmtId="0" fontId="16" fillId="7" borderId="29" xfId="0" applyFont="1" applyFill="1" applyBorder="1" applyAlignment="1">
      <alignment horizontal="center"/>
    </xf>
    <xf numFmtId="0" fontId="13" fillId="0" borderId="18" xfId="0" applyFont="1" applyBorder="1" applyAlignment="1">
      <alignment wrapText="1"/>
    </xf>
    <xf numFmtId="0" fontId="13" fillId="0" borderId="37" xfId="0" applyFont="1" applyBorder="1" applyAlignment="1">
      <alignment horizontal="left"/>
    </xf>
    <xf numFmtId="0" fontId="0" fillId="0" borderId="19" xfId="0" applyBorder="1"/>
    <xf numFmtId="0" fontId="16" fillId="7" borderId="33" xfId="0" applyFont="1" applyFill="1" applyBorder="1"/>
    <xf numFmtId="0" fontId="16" fillId="7" borderId="39" xfId="0" applyFont="1" applyFill="1" applyBorder="1"/>
    <xf numFmtId="0" fontId="13" fillId="7" borderId="40" xfId="0" applyFont="1" applyFill="1" applyBorder="1"/>
    <xf numFmtId="0" fontId="16" fillId="7" borderId="40" xfId="0" applyFont="1" applyFill="1" applyBorder="1"/>
    <xf numFmtId="0" fontId="16" fillId="7" borderId="40" xfId="0" applyFont="1" applyFill="1" applyBorder="1" applyAlignment="1">
      <alignment horizontal="center"/>
    </xf>
    <xf numFmtId="0" fontId="16" fillId="7" borderId="41" xfId="0" applyFont="1" applyFill="1" applyBorder="1" applyAlignment="1">
      <alignment horizontal="center"/>
    </xf>
    <xf numFmtId="0" fontId="15" fillId="4" borderId="0" xfId="0" applyFont="1" applyFill="1"/>
    <xf numFmtId="0" fontId="15" fillId="7" borderId="45" xfId="0" applyFont="1" applyFill="1" applyBorder="1" applyAlignment="1">
      <alignment wrapText="1"/>
    </xf>
    <xf numFmtId="0" fontId="15" fillId="7" borderId="39" xfId="0" applyFont="1" applyFill="1" applyBorder="1"/>
    <xf numFmtId="0" fontId="15" fillId="7" borderId="34" xfId="0" applyFont="1" applyFill="1" applyBorder="1" applyAlignment="1">
      <alignment horizontal="center"/>
    </xf>
    <xf numFmtId="0" fontId="15" fillId="7" borderId="35" xfId="0" applyFont="1" applyFill="1" applyBorder="1" applyAlignment="1">
      <alignment horizontal="left"/>
    </xf>
    <xf numFmtId="0" fontId="15" fillId="7" borderId="39" xfId="0" applyFont="1" applyFill="1" applyBorder="1" applyAlignment="1">
      <alignment horizontal="left"/>
    </xf>
    <xf numFmtId="0" fontId="15" fillId="7" borderId="40" xfId="0" applyFont="1" applyFill="1" applyBorder="1" applyAlignment="1">
      <alignment horizontal="center"/>
    </xf>
    <xf numFmtId="0" fontId="15" fillId="7" borderId="41" xfId="0" applyFont="1" applyFill="1" applyBorder="1" applyAlignment="1">
      <alignment horizontal="center"/>
    </xf>
    <xf numFmtId="0" fontId="15" fillId="0" borderId="0" xfId="0" applyFont="1"/>
    <xf numFmtId="0" fontId="17" fillId="7" borderId="36" xfId="0" applyFont="1" applyFill="1" applyBorder="1"/>
    <xf numFmtId="0" fontId="0" fillId="0" borderId="37" xfId="0" applyBorder="1" applyAlignment="1">
      <alignment wrapText="1"/>
    </xf>
    <xf numFmtId="0" fontId="0" fillId="0" borderId="37" xfId="0" applyBorder="1"/>
    <xf numFmtId="0" fontId="18" fillId="7" borderId="36" xfId="0" applyFont="1" applyFill="1" applyBorder="1" applyAlignment="1">
      <alignment horizontal="left" vertical="center" wrapText="1"/>
    </xf>
    <xf numFmtId="0" fontId="17" fillId="7" borderId="42" xfId="0" applyFont="1" applyFill="1" applyBorder="1"/>
    <xf numFmtId="0" fontId="0" fillId="0" borderId="46" xfId="0" applyBorder="1"/>
    <xf numFmtId="0" fontId="19" fillId="7" borderId="45" xfId="0" applyFont="1" applyFill="1" applyBorder="1"/>
    <xf numFmtId="0" fontId="19" fillId="7" borderId="35" xfId="0" applyFont="1" applyFill="1" applyBorder="1"/>
    <xf numFmtId="0" fontId="19" fillId="7" borderId="39" xfId="0" applyFont="1" applyFill="1" applyBorder="1"/>
    <xf numFmtId="0" fontId="0" fillId="7" borderId="34" xfId="0" applyFill="1" applyBorder="1"/>
    <xf numFmtId="0" fontId="19" fillId="7" borderId="34" xfId="0" applyFont="1" applyFill="1" applyBorder="1"/>
    <xf numFmtId="0" fontId="16" fillId="7" borderId="48" xfId="0" applyFont="1" applyFill="1" applyBorder="1" applyAlignment="1">
      <alignment horizontal="left"/>
    </xf>
    <xf numFmtId="0" fontId="19" fillId="0" borderId="36" xfId="0" applyFont="1" applyBorder="1"/>
    <xf numFmtId="168" fontId="0" fillId="0" borderId="38" xfId="0" applyNumberFormat="1" applyBorder="1" applyAlignment="1">
      <alignment horizontal="right" wrapText="1"/>
    </xf>
    <xf numFmtId="168" fontId="0" fillId="0" borderId="38" xfId="0" applyNumberFormat="1" applyBorder="1"/>
    <xf numFmtId="0" fontId="0" fillId="0" borderId="42" xfId="0" applyBorder="1"/>
    <xf numFmtId="0" fontId="0" fillId="0" borderId="20" xfId="0" applyBorder="1"/>
    <xf numFmtId="0" fontId="0" fillId="0" borderId="21" xfId="0" applyBorder="1"/>
    <xf numFmtId="0" fontId="0" fillId="0" borderId="43" xfId="0" applyBorder="1"/>
    <xf numFmtId="0" fontId="0" fillId="4" borderId="0" xfId="0" applyFill="1" applyAlignment="1">
      <alignment wrapText="1"/>
    </xf>
    <xf numFmtId="0" fontId="19" fillId="7" borderId="39" xfId="0" applyFont="1" applyFill="1" applyBorder="1" applyAlignment="1">
      <alignment wrapText="1"/>
    </xf>
    <xf numFmtId="0" fontId="19" fillId="7" borderId="35" xfId="0" applyFont="1" applyFill="1" applyBorder="1" applyAlignment="1">
      <alignment wrapText="1"/>
    </xf>
    <xf numFmtId="0" fontId="19" fillId="7" borderId="40" xfId="0" applyFont="1" applyFill="1" applyBorder="1" applyAlignment="1">
      <alignment wrapText="1"/>
    </xf>
    <xf numFmtId="0" fontId="16" fillId="7" borderId="48" xfId="0" applyFont="1" applyFill="1" applyBorder="1" applyAlignment="1">
      <alignment horizontal="left" wrapText="1"/>
    </xf>
    <xf numFmtId="0" fontId="0" fillId="11" borderId="0" xfId="0" applyFill="1" applyAlignment="1">
      <alignment wrapText="1"/>
    </xf>
    <xf numFmtId="0" fontId="0" fillId="0" borderId="0" xfId="0" applyAlignment="1">
      <alignment wrapText="1"/>
    </xf>
    <xf numFmtId="0" fontId="0" fillId="0" borderId="18" xfId="0" applyBorder="1" applyAlignment="1">
      <alignment wrapText="1"/>
    </xf>
    <xf numFmtId="168" fontId="0" fillId="0" borderId="38" xfId="0" applyNumberFormat="1" applyBorder="1" applyAlignment="1">
      <alignment horizontal="left" wrapText="1"/>
    </xf>
    <xf numFmtId="0" fontId="0" fillId="0" borderId="38" xfId="0" applyBorder="1"/>
    <xf numFmtId="0" fontId="19" fillId="0" borderId="28" xfId="0" applyFont="1" applyBorder="1"/>
    <xf numFmtId="0" fontId="0" fillId="0" borderId="20" xfId="0" applyBorder="1" applyAlignment="1">
      <alignment wrapText="1"/>
    </xf>
    <xf numFmtId="0" fontId="19" fillId="7" borderId="28" xfId="0" applyFont="1" applyFill="1" applyBorder="1"/>
    <xf numFmtId="0" fontId="19" fillId="7" borderId="0" xfId="0" applyFont="1" applyFill="1"/>
    <xf numFmtId="0" fontId="19" fillId="13" borderId="33" xfId="0" applyFont="1" applyFill="1" applyBorder="1"/>
    <xf numFmtId="0" fontId="19" fillId="13" borderId="40" xfId="0" applyFont="1" applyFill="1" applyBorder="1"/>
    <xf numFmtId="0" fontId="19" fillId="13" borderId="34" xfId="0" applyFont="1" applyFill="1" applyBorder="1"/>
    <xf numFmtId="0" fontId="19" fillId="13" borderId="39" xfId="0" applyFont="1" applyFill="1" applyBorder="1"/>
    <xf numFmtId="0" fontId="16" fillId="13" borderId="48" xfId="0" applyFont="1" applyFill="1" applyBorder="1" applyAlignment="1">
      <alignment horizontal="center"/>
    </xf>
    <xf numFmtId="168" fontId="13" fillId="0" borderId="38" xfId="0" applyNumberFormat="1" applyFont="1" applyBorder="1" applyAlignment="1">
      <alignment horizontal="left"/>
    </xf>
    <xf numFmtId="168" fontId="13" fillId="0" borderId="52" xfId="0" applyNumberFormat="1" applyFont="1" applyBorder="1" applyAlignment="1">
      <alignment horizontal="left"/>
    </xf>
    <xf numFmtId="0" fontId="13" fillId="0" borderId="0" xfId="0" applyFont="1" applyAlignment="1">
      <alignment horizontal="left"/>
    </xf>
    <xf numFmtId="0" fontId="13" fillId="0" borderId="0" xfId="0" applyFont="1" applyAlignment="1">
      <alignment horizontal="left" wrapText="1"/>
    </xf>
    <xf numFmtId="168" fontId="13" fillId="0" borderId="0" xfId="0" applyNumberFormat="1" applyFont="1" applyAlignment="1">
      <alignment horizontal="left"/>
    </xf>
    <xf numFmtId="0" fontId="20" fillId="0" borderId="0" xfId="0" applyFont="1"/>
    <xf numFmtId="0" fontId="0" fillId="0" borderId="53" xfId="0" applyBorder="1"/>
    <xf numFmtId="1" fontId="0" fillId="0" borderId="0" xfId="0" applyNumberFormat="1"/>
    <xf numFmtId="0" fontId="19" fillId="0" borderId="0" xfId="0" applyFont="1"/>
    <xf numFmtId="9" fontId="0" fillId="0" borderId="0" xfId="0" applyNumberFormat="1"/>
    <xf numFmtId="165" fontId="19" fillId="7" borderId="0" xfId="0" applyNumberFormat="1" applyFont="1" applyFill="1"/>
    <xf numFmtId="167" fontId="0" fillId="0" borderId="0" xfId="0" applyNumberFormat="1"/>
    <xf numFmtId="170" fontId="0" fillId="0" borderId="0" xfId="0" applyNumberFormat="1"/>
    <xf numFmtId="0" fontId="19" fillId="0" borderId="53" xfId="0" applyFont="1" applyBorder="1" applyAlignment="1">
      <alignment horizontal="center"/>
    </xf>
    <xf numFmtId="165" fontId="0" fillId="0" borderId="53" xfId="0" applyNumberFormat="1" applyBorder="1" applyAlignment="1">
      <alignment horizontal="center"/>
    </xf>
    <xf numFmtId="9" fontId="0" fillId="3" borderId="0" xfId="0" applyNumberFormat="1" applyFill="1"/>
    <xf numFmtId="0" fontId="15" fillId="7" borderId="0" xfId="0" applyFont="1" applyFill="1" applyAlignment="1">
      <alignment horizontal="left"/>
    </xf>
    <xf numFmtId="0" fontId="16" fillId="7" borderId="0" xfId="0" applyFont="1" applyFill="1" applyAlignment="1">
      <alignment horizontal="left"/>
    </xf>
    <xf numFmtId="167" fontId="0" fillId="0" borderId="54" xfId="0" applyNumberFormat="1" applyBorder="1" applyAlignment="1">
      <alignment horizontal="left" vertical="top" wrapText="1"/>
    </xf>
    <xf numFmtId="168" fontId="0" fillId="0" borderId="54" xfId="0" applyNumberFormat="1" applyBorder="1" applyAlignment="1">
      <alignment horizontal="right" wrapText="1"/>
    </xf>
    <xf numFmtId="167" fontId="0" fillId="0" borderId="55" xfId="0" applyNumberFormat="1" applyBorder="1"/>
    <xf numFmtId="168" fontId="0" fillId="0" borderId="55" xfId="0" applyNumberFormat="1" applyBorder="1" applyAlignment="1">
      <alignment horizontal="right"/>
    </xf>
    <xf numFmtId="167" fontId="0" fillId="0" borderId="11" xfId="0" applyNumberFormat="1" applyBorder="1"/>
    <xf numFmtId="168" fontId="0" fillId="0" borderId="11" xfId="0" applyNumberFormat="1" applyBorder="1" applyAlignment="1">
      <alignment horizontal="right"/>
    </xf>
    <xf numFmtId="0" fontId="0" fillId="0" borderId="55" xfId="0" applyBorder="1" applyAlignment="1">
      <alignment horizontal="right"/>
    </xf>
    <xf numFmtId="167" fontId="0" fillId="0" borderId="56" xfId="0" applyNumberFormat="1" applyBorder="1"/>
    <xf numFmtId="0" fontId="0" fillId="0" borderId="56" xfId="0" applyBorder="1" applyAlignment="1">
      <alignment horizontal="right"/>
    </xf>
    <xf numFmtId="0" fontId="15" fillId="7" borderId="0" xfId="0" applyFont="1" applyFill="1"/>
    <xf numFmtId="167" fontId="0" fillId="0" borderId="54" xfId="0" applyNumberFormat="1" applyBorder="1" applyAlignment="1">
      <alignment horizontal="left"/>
    </xf>
    <xf numFmtId="0" fontId="19" fillId="0" borderId="37" xfId="0" applyFont="1" applyBorder="1"/>
    <xf numFmtId="168" fontId="0" fillId="0" borderId="37" xfId="0" applyNumberFormat="1" applyBorder="1" applyAlignment="1">
      <alignment horizontal="left" wrapText="1"/>
    </xf>
    <xf numFmtId="168" fontId="0" fillId="0" borderId="37" xfId="0" applyNumberFormat="1" applyBorder="1"/>
    <xf numFmtId="168" fontId="0" fillId="0" borderId="35" xfId="0" applyNumberFormat="1" applyBorder="1" applyAlignment="1">
      <alignment horizontal="left" wrapText="1"/>
    </xf>
    <xf numFmtId="0" fontId="19" fillId="0" borderId="18" xfId="0" applyFont="1" applyBorder="1"/>
    <xf numFmtId="0" fontId="13" fillId="0" borderId="0" xfId="0" applyFont="1" applyAlignment="1">
      <alignment wrapText="1"/>
    </xf>
    <xf numFmtId="0" fontId="16" fillId="13" borderId="35" xfId="0" applyFont="1" applyFill="1" applyBorder="1" applyAlignment="1">
      <alignment horizontal="center"/>
    </xf>
    <xf numFmtId="168" fontId="13" fillId="0" borderId="37" xfId="0" applyNumberFormat="1" applyFont="1" applyBorder="1" applyAlignment="1">
      <alignment horizontal="left"/>
    </xf>
    <xf numFmtId="168" fontId="13" fillId="0" borderId="46" xfId="0" applyNumberFormat="1" applyFont="1" applyBorder="1" applyAlignment="1">
      <alignment horizontal="left"/>
    </xf>
    <xf numFmtId="16" fontId="13" fillId="0" borderId="0" xfId="0" applyNumberFormat="1" applyFont="1" applyAlignment="1">
      <alignment horizontal="left"/>
    </xf>
    <xf numFmtId="167" fontId="0" fillId="0" borderId="18" xfId="0" applyNumberFormat="1" applyBorder="1"/>
    <xf numFmtId="0" fontId="0" fillId="0" borderId="18" xfId="0" applyBorder="1"/>
    <xf numFmtId="0" fontId="0" fillId="4" borderId="0" xfId="0" applyFill="1" applyAlignment="1">
      <alignment vertical="center"/>
    </xf>
    <xf numFmtId="0" fontId="22" fillId="2" borderId="0" xfId="0" applyFont="1" applyFill="1" applyAlignment="1">
      <alignment vertical="center" wrapText="1"/>
    </xf>
    <xf numFmtId="0" fontId="23" fillId="3" borderId="3" xfId="0" applyFont="1" applyFill="1" applyBorder="1" applyAlignment="1">
      <alignment vertical="center"/>
    </xf>
    <xf numFmtId="0" fontId="24" fillId="3" borderId="0" xfId="0" applyFont="1" applyFill="1" applyAlignment="1">
      <alignment vertical="center"/>
    </xf>
    <xf numFmtId="0" fontId="22" fillId="2" borderId="0" xfId="0" applyFont="1" applyFill="1" applyAlignment="1">
      <alignment vertical="center"/>
    </xf>
    <xf numFmtId="168" fontId="25" fillId="3" borderId="0" xfId="0" applyNumberFormat="1" applyFont="1" applyFill="1" applyAlignment="1">
      <alignment horizontal="left" vertical="center"/>
    </xf>
    <xf numFmtId="0" fontId="1" fillId="3" borderId="0" xfId="0" applyFont="1" applyFill="1" applyAlignment="1">
      <alignment vertical="center"/>
    </xf>
    <xf numFmtId="0" fontId="15" fillId="7" borderId="58" xfId="0" applyFont="1" applyFill="1" applyBorder="1"/>
    <xf numFmtId="0" fontId="16" fillId="7" borderId="57" xfId="0" applyFont="1" applyFill="1" applyBorder="1"/>
    <xf numFmtId="0" fontId="16" fillId="7" borderId="59" xfId="0" applyFont="1" applyFill="1" applyBorder="1"/>
    <xf numFmtId="0" fontId="16" fillId="7" borderId="53" xfId="0" applyFont="1" applyFill="1" applyBorder="1" applyAlignment="1">
      <alignment horizontal="right"/>
    </xf>
    <xf numFmtId="0" fontId="19" fillId="3" borderId="58" xfId="0" applyFont="1" applyFill="1" applyBorder="1"/>
    <xf numFmtId="0" fontId="0" fillId="3" borderId="57" xfId="0" applyFill="1" applyBorder="1"/>
    <xf numFmtId="0" fontId="0" fillId="3" borderId="59" xfId="0" applyFill="1" applyBorder="1"/>
    <xf numFmtId="0" fontId="19" fillId="3" borderId="39" xfId="0" applyFont="1" applyFill="1" applyBorder="1"/>
    <xf numFmtId="0" fontId="0" fillId="3" borderId="40" xfId="0" applyFill="1" applyBorder="1"/>
    <xf numFmtId="0" fontId="0" fillId="3" borderId="34" xfId="0" applyFill="1" applyBorder="1"/>
    <xf numFmtId="0" fontId="0" fillId="0" borderId="35" xfId="0" applyBorder="1"/>
    <xf numFmtId="0" fontId="19" fillId="0" borderId="22" xfId="0" applyFont="1" applyBorder="1"/>
    <xf numFmtId="0" fontId="0" fillId="0" borderId="22" xfId="0" applyBorder="1"/>
    <xf numFmtId="0" fontId="16" fillId="7" borderId="34" xfId="0" applyFont="1" applyFill="1" applyBorder="1" applyAlignment="1">
      <alignment horizontal="center"/>
    </xf>
    <xf numFmtId="0" fontId="13" fillId="0" borderId="18" xfId="0" applyFont="1" applyBorder="1"/>
    <xf numFmtId="0" fontId="15" fillId="7" borderId="35" xfId="0" applyFont="1" applyFill="1" applyBorder="1" applyAlignment="1">
      <alignment wrapText="1"/>
    </xf>
    <xf numFmtId="0" fontId="17" fillId="7" borderId="37" xfId="0" applyFont="1" applyFill="1" applyBorder="1"/>
    <xf numFmtId="0" fontId="18" fillId="7" borderId="37" xfId="0" applyFont="1" applyFill="1" applyBorder="1" applyAlignment="1">
      <alignment horizontal="left" vertical="center" wrapText="1"/>
    </xf>
    <xf numFmtId="0" fontId="17" fillId="7" borderId="46" xfId="0" applyFont="1" applyFill="1" applyBorder="1"/>
    <xf numFmtId="0" fontId="9" fillId="3" borderId="0" xfId="0" applyFont="1" applyFill="1" applyAlignment="1">
      <alignment vertical="center"/>
    </xf>
    <xf numFmtId="0" fontId="22" fillId="2" borderId="61" xfId="0" applyFont="1" applyFill="1" applyBorder="1" applyAlignment="1">
      <alignment vertical="center"/>
    </xf>
    <xf numFmtId="167" fontId="25" fillId="4" borderId="62" xfId="0" applyNumberFormat="1" applyFont="1" applyFill="1" applyBorder="1" applyAlignment="1">
      <alignment vertical="center"/>
    </xf>
    <xf numFmtId="0" fontId="22" fillId="2" borderId="62" xfId="0" applyFont="1" applyFill="1" applyBorder="1" applyAlignment="1">
      <alignment vertical="center"/>
    </xf>
    <xf numFmtId="0" fontId="9" fillId="0" borderId="0" xfId="0" applyFont="1" applyAlignment="1">
      <alignment vertical="center"/>
    </xf>
    <xf numFmtId="0" fontId="3" fillId="3" borderId="0" xfId="0" applyFont="1" applyFill="1"/>
    <xf numFmtId="0" fontId="13" fillId="3" borderId="0" xfId="0" applyFont="1" applyFill="1" applyAlignment="1">
      <alignment horizontal="left" wrapText="1"/>
    </xf>
    <xf numFmtId="0" fontId="0" fillId="3" borderId="18" xfId="0" applyFill="1" applyBorder="1"/>
    <xf numFmtId="168" fontId="0" fillId="0" borderId="0" xfId="0" applyNumberFormat="1"/>
    <xf numFmtId="0" fontId="6" fillId="0" borderId="0" xfId="0" applyFont="1"/>
    <xf numFmtId="0" fontId="13" fillId="0" borderId="0" xfId="0" applyFont="1"/>
    <xf numFmtId="0" fontId="21" fillId="3" borderId="18" xfId="0" applyFont="1" applyFill="1" applyBorder="1"/>
    <xf numFmtId="0" fontId="21" fillId="3" borderId="0" xfId="0" applyFont="1" applyFill="1"/>
    <xf numFmtId="167" fontId="0" fillId="0" borderId="20" xfId="0" applyNumberFormat="1" applyBorder="1"/>
    <xf numFmtId="168" fontId="0" fillId="0" borderId="18" xfId="0" applyNumberFormat="1" applyBorder="1"/>
    <xf numFmtId="0" fontId="21" fillId="0" borderId="0" xfId="0" applyFont="1"/>
    <xf numFmtId="0" fontId="19" fillId="13" borderId="0" xfId="0" applyFont="1" applyFill="1"/>
    <xf numFmtId="0" fontId="16" fillId="13" borderId="0" xfId="0" applyFont="1" applyFill="1" applyAlignment="1">
      <alignment horizontal="center"/>
    </xf>
    <xf numFmtId="0" fontId="9" fillId="3" borderId="0" xfId="0" applyFont="1" applyFill="1" applyAlignment="1">
      <alignment horizontal="left" vertical="center"/>
    </xf>
    <xf numFmtId="0" fontId="13" fillId="0" borderId="9" xfId="0" applyFont="1" applyBorder="1"/>
    <xf numFmtId="0" fontId="13" fillId="0" borderId="19" xfId="0" applyFont="1" applyBorder="1"/>
    <xf numFmtId="0" fontId="16" fillId="7" borderId="9" xfId="0" applyFont="1" applyFill="1" applyBorder="1"/>
    <xf numFmtId="0" fontId="26" fillId="0" borderId="0" xfId="0" applyFont="1"/>
    <xf numFmtId="0" fontId="26" fillId="0" borderId="0" xfId="0" applyFont="1" applyAlignment="1">
      <alignment wrapText="1"/>
    </xf>
    <xf numFmtId="0" fontId="15" fillId="7" borderId="0" xfId="0" applyFont="1" applyFill="1" applyAlignment="1">
      <alignment wrapText="1"/>
    </xf>
    <xf numFmtId="0" fontId="15" fillId="7" borderId="0" xfId="0" applyFont="1" applyFill="1" applyAlignment="1">
      <alignment horizontal="center"/>
    </xf>
    <xf numFmtId="0" fontId="17" fillId="7" borderId="0" xfId="0" applyFont="1" applyFill="1"/>
    <xf numFmtId="0" fontId="18" fillId="7" borderId="0" xfId="0" applyFont="1" applyFill="1" applyAlignment="1">
      <alignment horizontal="left" vertical="center" wrapText="1"/>
    </xf>
    <xf numFmtId="0" fontId="1" fillId="4" borderId="26" xfId="0" applyFont="1" applyFill="1" applyBorder="1" applyAlignment="1">
      <alignment horizontal="left"/>
    </xf>
    <xf numFmtId="0" fontId="0" fillId="0" borderId="40" xfId="0" applyBorder="1"/>
    <xf numFmtId="0" fontId="0" fillId="0" borderId="26" xfId="0" applyBorder="1"/>
    <xf numFmtId="0" fontId="1" fillId="4" borderId="10" xfId="0" applyFont="1" applyFill="1" applyBorder="1" applyAlignment="1">
      <alignment horizontal="left"/>
    </xf>
    <xf numFmtId="0" fontId="1" fillId="0" borderId="0" xfId="0" applyFont="1"/>
    <xf numFmtId="0" fontId="0" fillId="0" borderId="10" xfId="0" applyBorder="1"/>
    <xf numFmtId="0" fontId="1" fillId="4" borderId="7" xfId="0" applyFont="1" applyFill="1" applyBorder="1" applyAlignment="1">
      <alignment horizontal="left"/>
    </xf>
    <xf numFmtId="0" fontId="0" fillId="0" borderId="6" xfId="0" applyBorder="1"/>
    <xf numFmtId="0" fontId="0" fillId="0" borderId="7" xfId="0" applyBorder="1"/>
    <xf numFmtId="0" fontId="1" fillId="4" borderId="25" xfId="0" applyFont="1" applyFill="1" applyBorder="1" applyAlignment="1">
      <alignment horizontal="left"/>
    </xf>
    <xf numFmtId="0" fontId="0" fillId="0" borderId="24" xfId="0" applyBorder="1"/>
    <xf numFmtId="0" fontId="0" fillId="0" borderId="25" xfId="0" applyBorder="1"/>
    <xf numFmtId="0" fontId="1" fillId="4" borderId="12" xfId="0" applyFont="1" applyFill="1" applyBorder="1" applyAlignment="1">
      <alignment horizontal="left"/>
    </xf>
    <xf numFmtId="0" fontId="2" fillId="2" borderId="1" xfId="0" applyFont="1" applyFill="1" applyBorder="1" applyAlignment="1">
      <alignment horizontal="left" vertical="center"/>
    </xf>
    <xf numFmtId="0" fontId="0" fillId="0" borderId="1" xfId="0" applyBorder="1"/>
    <xf numFmtId="0" fontId="1" fillId="4" borderId="11" xfId="0" applyFont="1" applyFill="1" applyBorder="1" applyAlignment="1">
      <alignment horizontal="left"/>
    </xf>
    <xf numFmtId="0" fontId="7" fillId="5" borderId="4" xfId="0" applyFont="1" applyFill="1" applyBorder="1" applyAlignment="1">
      <alignment horizontal="left"/>
    </xf>
    <xf numFmtId="0" fontId="0" fillId="0" borderId="3" xfId="0" applyBorder="1"/>
    <xf numFmtId="0" fontId="0" fillId="0" borderId="4" xfId="0" applyBorder="1"/>
    <xf numFmtId="0" fontId="1" fillId="0" borderId="0" xfId="0" applyFont="1" applyAlignment="1">
      <alignment horizontal="left"/>
    </xf>
    <xf numFmtId="0" fontId="9" fillId="7" borderId="8" xfId="0" applyFont="1" applyFill="1" applyBorder="1" applyAlignment="1">
      <alignment horizontal="left"/>
    </xf>
    <xf numFmtId="0" fontId="12" fillId="4" borderId="10" xfId="0" applyFont="1" applyFill="1" applyBorder="1" applyAlignment="1">
      <alignment horizontal="left" wrapText="1"/>
    </xf>
    <xf numFmtId="0" fontId="13" fillId="0" borderId="36" xfId="0" applyFont="1" applyBorder="1" applyAlignment="1">
      <alignment wrapText="1"/>
    </xf>
    <xf numFmtId="0" fontId="0" fillId="0" borderId="0" xfId="0" applyAlignment="1">
      <alignment horizontal="left"/>
    </xf>
    <xf numFmtId="0" fontId="0" fillId="0" borderId="19" xfId="0" applyBorder="1"/>
    <xf numFmtId="0" fontId="2" fillId="2" borderId="0" xfId="0" applyFont="1" applyFill="1" applyAlignment="1">
      <alignment horizontal="left" vertical="center"/>
    </xf>
    <xf numFmtId="0" fontId="3" fillId="2" borderId="0" xfId="0" applyFont="1" applyFill="1"/>
    <xf numFmtId="0" fontId="0" fillId="0" borderId="42" xfId="0" applyBorder="1" applyAlignment="1">
      <alignment wrapText="1"/>
    </xf>
    <xf numFmtId="0" fontId="0" fillId="0" borderId="21" xfId="0" applyBorder="1"/>
    <xf numFmtId="0" fontId="13" fillId="0" borderId="28" xfId="0" applyFont="1" applyBorder="1" applyAlignment="1">
      <alignment wrapText="1"/>
    </xf>
    <xf numFmtId="0" fontId="0" fillId="4" borderId="0" xfId="0" applyFill="1"/>
    <xf numFmtId="0" fontId="0" fillId="0" borderId="37" xfId="0" applyBorder="1" applyAlignment="1">
      <alignment wrapText="1"/>
    </xf>
    <xf numFmtId="0" fontId="7" fillId="9" borderId="32" xfId="0" applyFont="1" applyFill="1" applyBorder="1" applyAlignment="1">
      <alignment horizontal="center"/>
    </xf>
    <xf numFmtId="0" fontId="0" fillId="0" borderId="57" xfId="0" applyBorder="1"/>
    <xf numFmtId="0" fontId="0" fillId="0" borderId="67" xfId="0" applyBorder="1"/>
    <xf numFmtId="0" fontId="7" fillId="9" borderId="27" xfId="0" applyFont="1" applyFill="1" applyBorder="1" applyAlignment="1">
      <alignment horizontal="center"/>
    </xf>
    <xf numFmtId="0" fontId="0" fillId="0" borderId="64" xfId="0" applyBorder="1"/>
    <xf numFmtId="0" fontId="0" fillId="0" borderId="65" xfId="0" applyBorder="1"/>
    <xf numFmtId="0" fontId="0" fillId="0" borderId="0" xfId="0" applyAlignment="1">
      <alignment wrapText="1"/>
    </xf>
    <xf numFmtId="0" fontId="0" fillId="0" borderId="37" xfId="0" applyBorder="1" applyAlignment="1">
      <alignment horizontal="left" wrapText="1"/>
    </xf>
    <xf numFmtId="0" fontId="0" fillId="0" borderId="38" xfId="0" applyBorder="1" applyAlignment="1">
      <alignment wrapText="1"/>
    </xf>
    <xf numFmtId="0" fontId="0" fillId="0" borderId="0" xfId="0"/>
    <xf numFmtId="0" fontId="0" fillId="0" borderId="29" xfId="0" applyBorder="1"/>
    <xf numFmtId="0" fontId="0" fillId="0" borderId="46" xfId="0" applyBorder="1" applyAlignment="1">
      <alignment wrapText="1"/>
    </xf>
    <xf numFmtId="0" fontId="19" fillId="0" borderId="36" xfId="0" applyFont="1" applyBorder="1"/>
    <xf numFmtId="0" fontId="19" fillId="0" borderId="36" xfId="0" applyFont="1" applyBorder="1" applyAlignment="1">
      <alignment wrapText="1"/>
    </xf>
    <xf numFmtId="0" fontId="7" fillId="9" borderId="30" xfId="0" applyFont="1" applyFill="1" applyBorder="1" applyAlignment="1">
      <alignment horizontal="center"/>
    </xf>
    <xf numFmtId="0" fontId="0" fillId="0" borderId="43" xfId="0" applyBorder="1" applyAlignment="1">
      <alignment wrapText="1"/>
    </xf>
    <xf numFmtId="0" fontId="0" fillId="0" borderId="68" xfId="0" applyBorder="1"/>
    <xf numFmtId="0" fontId="0" fillId="0" borderId="46" xfId="0" applyBorder="1" applyAlignment="1">
      <alignment horizontal="left"/>
    </xf>
    <xf numFmtId="0" fontId="0" fillId="0" borderId="51" xfId="0" applyBorder="1" applyAlignment="1">
      <alignment horizontal="left" wrapText="1"/>
    </xf>
    <xf numFmtId="0" fontId="0" fillId="0" borderId="69" xfId="0" applyBorder="1"/>
    <xf numFmtId="0" fontId="13" fillId="0" borderId="38" xfId="0" applyFont="1" applyBorder="1"/>
    <xf numFmtId="0" fontId="7" fillId="9" borderId="47" xfId="0" applyFont="1" applyFill="1" applyBorder="1" applyAlignment="1">
      <alignment horizontal="center"/>
    </xf>
    <xf numFmtId="0" fontId="13" fillId="0" borderId="42" xfId="0" applyFont="1" applyBorder="1" applyAlignment="1">
      <alignment wrapText="1"/>
    </xf>
    <xf numFmtId="0" fontId="13" fillId="0" borderId="50" xfId="0" applyFont="1" applyBorder="1" applyAlignment="1">
      <alignment wrapText="1"/>
    </xf>
    <xf numFmtId="0" fontId="19" fillId="7" borderId="45" xfId="0" applyFont="1" applyFill="1" applyBorder="1" applyAlignment="1">
      <alignment horizontal="left" wrapText="1"/>
    </xf>
    <xf numFmtId="0" fontId="0" fillId="0" borderId="34" xfId="0" applyBorder="1"/>
    <xf numFmtId="0" fontId="0" fillId="0" borderId="37" xfId="0" applyBorder="1" applyAlignment="1">
      <alignment horizontal="left"/>
    </xf>
    <xf numFmtId="0" fontId="0" fillId="0" borderId="28" xfId="0" applyBorder="1" applyAlignment="1">
      <alignment wrapText="1"/>
    </xf>
    <xf numFmtId="0" fontId="13" fillId="0" borderId="28" xfId="0" applyFont="1" applyBorder="1" applyAlignment="1">
      <alignment horizontal="left" wrapText="1"/>
    </xf>
    <xf numFmtId="0" fontId="0" fillId="0" borderId="49" xfId="0" applyBorder="1" applyAlignment="1">
      <alignment wrapText="1"/>
    </xf>
    <xf numFmtId="0" fontId="13" fillId="0" borderId="28" xfId="0" applyFont="1" applyBorder="1" applyAlignment="1">
      <alignment horizontal="left"/>
    </xf>
    <xf numFmtId="0" fontId="14" fillId="3" borderId="31" xfId="0" applyFont="1" applyFill="1" applyBorder="1" applyAlignment="1">
      <alignment horizontal="left" vertical="center" wrapText="1"/>
    </xf>
    <xf numFmtId="0" fontId="0" fillId="0" borderId="66" xfId="0" applyBorder="1"/>
    <xf numFmtId="0" fontId="0" fillId="0" borderId="24" xfId="0" applyBorder="1" applyAlignment="1">
      <alignment wrapText="1"/>
    </xf>
    <xf numFmtId="0" fontId="7" fillId="12" borderId="32" xfId="0" applyFont="1" applyFill="1" applyBorder="1" applyAlignment="1">
      <alignment horizontal="center"/>
    </xf>
    <xf numFmtId="0" fontId="7" fillId="9" borderId="44" xfId="0" applyFont="1" applyFill="1" applyBorder="1" applyAlignment="1">
      <alignment horizontal="center"/>
    </xf>
    <xf numFmtId="0" fontId="0" fillId="0" borderId="41" xfId="0" applyBorder="1"/>
    <xf numFmtId="0" fontId="0" fillId="0" borderId="37" xfId="0" applyBorder="1"/>
    <xf numFmtId="0" fontId="0" fillId="0" borderId="53" xfId="0" applyBorder="1"/>
    <xf numFmtId="0" fontId="0" fillId="0" borderId="59" xfId="0" applyBorder="1"/>
    <xf numFmtId="0" fontId="7" fillId="9" borderId="37" xfId="0" applyFont="1" applyFill="1" applyBorder="1" applyAlignment="1">
      <alignment horizontal="center"/>
    </xf>
    <xf numFmtId="167" fontId="0" fillId="14" borderId="53" xfId="0" applyNumberFormat="1" applyFill="1" applyBorder="1" applyAlignment="1">
      <alignment horizontal="right"/>
    </xf>
    <xf numFmtId="9" fontId="0" fillId="14" borderId="53" xfId="0" applyNumberFormat="1" applyFill="1" applyBorder="1" applyAlignment="1">
      <alignment horizontal="right"/>
    </xf>
    <xf numFmtId="167" fontId="0" fillId="14" borderId="53" xfId="0" applyNumberFormat="1" applyFill="1" applyBorder="1" applyAlignment="1">
      <alignment horizontal="center"/>
    </xf>
    <xf numFmtId="0" fontId="15" fillId="7" borderId="53" xfId="0" applyFont="1" applyFill="1" applyBorder="1" applyAlignment="1">
      <alignment horizontal="center"/>
    </xf>
    <xf numFmtId="0" fontId="13" fillId="0" borderId="37" xfId="0" applyFont="1" applyBorder="1" applyAlignment="1">
      <alignment wrapText="1"/>
    </xf>
    <xf numFmtId="0" fontId="0" fillId="0" borderId="55" xfId="0" applyBorder="1" applyAlignment="1">
      <alignment wrapText="1"/>
    </xf>
    <xf numFmtId="0" fontId="0" fillId="0" borderId="72" xfId="0" applyBorder="1"/>
    <xf numFmtId="0" fontId="13" fillId="0" borderId="0" xfId="0" applyFont="1" applyAlignment="1">
      <alignment horizontal="left"/>
    </xf>
    <xf numFmtId="0" fontId="0" fillId="0" borderId="46" xfId="0" applyBorder="1" applyAlignment="1">
      <alignment horizontal="left" wrapText="1"/>
    </xf>
    <xf numFmtId="0" fontId="13" fillId="0" borderId="0" xfId="0" applyFont="1" applyAlignment="1">
      <alignment wrapText="1"/>
    </xf>
    <xf numFmtId="0" fontId="7" fillId="9" borderId="35" xfId="0" applyFont="1" applyFill="1" applyBorder="1" applyAlignment="1">
      <alignment horizontal="center"/>
    </xf>
    <xf numFmtId="0" fontId="21" fillId="3" borderId="55" xfId="0" applyFont="1" applyFill="1" applyBorder="1" applyAlignment="1">
      <alignment wrapText="1"/>
    </xf>
    <xf numFmtId="0" fontId="13" fillId="0" borderId="0" xfId="0" applyFont="1" applyAlignment="1">
      <alignment horizontal="left" wrapText="1"/>
    </xf>
    <xf numFmtId="0" fontId="21" fillId="0" borderId="55" xfId="0" applyFont="1" applyBorder="1" applyAlignment="1">
      <alignment wrapText="1"/>
    </xf>
    <xf numFmtId="0" fontId="21" fillId="15" borderId="8" xfId="0" applyFont="1" applyFill="1" applyBorder="1" applyAlignment="1">
      <alignment wrapText="1"/>
    </xf>
    <xf numFmtId="0" fontId="7" fillId="9" borderId="46" xfId="0" applyFont="1" applyFill="1" applyBorder="1" applyAlignment="1">
      <alignment horizontal="center"/>
    </xf>
    <xf numFmtId="0" fontId="7" fillId="12" borderId="53" xfId="0" applyFont="1" applyFill="1" applyBorder="1" applyAlignment="1">
      <alignment horizontal="center"/>
    </xf>
    <xf numFmtId="0" fontId="0" fillId="0" borderId="56" xfId="0" applyBorder="1" applyAlignment="1">
      <alignment wrapText="1"/>
    </xf>
    <xf numFmtId="0" fontId="0" fillId="0" borderId="73" xfId="0" applyBorder="1"/>
    <xf numFmtId="0" fontId="0" fillId="0" borderId="74" xfId="0" applyBorder="1"/>
    <xf numFmtId="0" fontId="19" fillId="0" borderId="37" xfId="0" applyFont="1" applyBorder="1"/>
    <xf numFmtId="0" fontId="19" fillId="0" borderId="37" xfId="0" applyFont="1" applyBorder="1" applyAlignment="1">
      <alignment wrapText="1"/>
    </xf>
    <xf numFmtId="0" fontId="0" fillId="0" borderId="8" xfId="0" applyBorder="1" applyAlignment="1">
      <alignment wrapText="1"/>
    </xf>
    <xf numFmtId="0" fontId="21" fillId="0" borderId="8" xfId="0" applyFont="1" applyBorder="1" applyAlignment="1">
      <alignment wrapText="1"/>
    </xf>
    <xf numFmtId="0" fontId="13" fillId="0" borderId="46" xfId="0" applyFont="1" applyBorder="1" applyAlignment="1">
      <alignment wrapText="1"/>
    </xf>
    <xf numFmtId="0" fontId="21" fillId="0" borderId="11" xfId="0" applyFont="1" applyBorder="1" applyAlignment="1">
      <alignment wrapText="1"/>
    </xf>
    <xf numFmtId="0" fontId="0" fillId="0" borderId="35" xfId="0" applyBorder="1" applyAlignment="1">
      <alignment wrapText="1"/>
    </xf>
    <xf numFmtId="0" fontId="0" fillId="3" borderId="54" xfId="0" applyFill="1" applyBorder="1" applyAlignment="1">
      <alignment horizontal="left" vertical="top" wrapText="1"/>
    </xf>
    <xf numFmtId="0" fontId="0" fillId="0" borderId="70" xfId="0" applyBorder="1"/>
    <xf numFmtId="0" fontId="0" fillId="0" borderId="71" xfId="0" applyBorder="1"/>
    <xf numFmtId="0" fontId="21" fillId="0" borderId="56" xfId="0" applyFont="1" applyBorder="1" applyAlignment="1">
      <alignment wrapText="1"/>
    </xf>
    <xf numFmtId="0" fontId="7" fillId="9" borderId="53" xfId="0" applyFont="1" applyFill="1" applyBorder="1" applyAlignment="1">
      <alignment horizontal="center"/>
    </xf>
    <xf numFmtId="0" fontId="0" fillId="0" borderId="54" xfId="0" applyBorder="1" applyAlignment="1">
      <alignment vertical="top" wrapText="1"/>
    </xf>
    <xf numFmtId="0" fontId="13" fillId="0" borderId="60" xfId="0" applyFont="1" applyBorder="1" applyAlignment="1">
      <alignment wrapText="1"/>
    </xf>
    <xf numFmtId="0" fontId="13" fillId="0" borderId="18" xfId="0" applyFont="1" applyBorder="1"/>
    <xf numFmtId="168" fontId="25" fillId="3" borderId="57" xfId="0" applyNumberFormat="1" applyFont="1" applyFill="1" applyBorder="1" applyAlignment="1">
      <alignment horizontal="center" vertical="center"/>
    </xf>
    <xf numFmtId="0" fontId="0" fillId="0" borderId="22" xfId="0" applyBorder="1" applyAlignment="1">
      <alignment horizontal="left" wrapText="1"/>
    </xf>
    <xf numFmtId="0" fontId="0" fillId="0" borderId="75" xfId="0" applyBorder="1"/>
    <xf numFmtId="0" fontId="0" fillId="0" borderId="17" xfId="0" applyBorder="1"/>
    <xf numFmtId="168" fontId="9" fillId="4" borderId="63" xfId="0" applyNumberFormat="1" applyFont="1" applyFill="1" applyBorder="1" applyAlignment="1">
      <alignment horizontal="center" vertical="center"/>
    </xf>
    <xf numFmtId="0" fontId="13" fillId="0" borderId="18" xfId="0" applyFont="1" applyBorder="1" applyAlignment="1">
      <alignment horizontal="left" wrapText="1"/>
    </xf>
    <xf numFmtId="0" fontId="0" fillId="0" borderId="0" xfId="0" applyAlignment="1">
      <alignment horizontal="left" wrapText="1"/>
    </xf>
    <xf numFmtId="0" fontId="13" fillId="0" borderId="18" xfId="0" applyFont="1" applyBorder="1" applyAlignment="1">
      <alignment wrapText="1"/>
    </xf>
  </cellXfs>
  <cellStyles count="4">
    <cellStyle name="Currency 2" xfId="1" xr:uid="{00000000-0005-0000-0000-000007000000}"/>
    <cellStyle name="Normal" xfId="0" builtinId="0"/>
    <cellStyle name="Normal 2" xfId="2" xr:uid="{00000000-0005-0000-0000-000008000000}"/>
    <cellStyle name="Percent 2" xfId="3" xr:uid="{00000000-0005-0000-0000-000009000000}"/>
  </cellStyles>
  <dxfs count="41">
    <dxf>
      <fill>
        <patternFill>
          <bgColor rgb="FFCCECFF"/>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CCECFF"/>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CCECFF"/>
        </patternFill>
      </fill>
    </dxf>
    <dxf>
      <fill>
        <patternFill>
          <bgColor rgb="FFCCECFF"/>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CCECF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CCECFF"/>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CCECFF"/>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CCECFF"/>
        </patternFill>
      </fill>
    </dxf>
    <dxf>
      <fill>
        <patternFill>
          <bgColor rgb="FFFFE04D"/>
        </patternFill>
      </fill>
    </dxf>
    <dxf>
      <fill>
        <patternFill>
          <bgColor rgb="FFFF6000"/>
        </patternFill>
      </fill>
    </dxf>
    <dxf>
      <fill>
        <patternFill>
          <bgColor rgb="FF92D050"/>
        </patternFill>
      </fill>
    </dxf>
    <dxf>
      <fill>
        <patternFill>
          <bgColor rgb="FFFFC000"/>
        </patternFill>
      </fill>
    </dxf>
    <dxf>
      <fill>
        <patternFill>
          <bgColor rgb="FFFFE04D"/>
        </patternFill>
      </fill>
    </dxf>
    <dxf>
      <fill>
        <patternFill>
          <bgColor rgb="FF92D050"/>
        </patternFill>
      </fill>
    </dxf>
    <dxf>
      <fill>
        <patternFill>
          <bgColor rgb="FFC8E774"/>
        </patternFill>
      </fill>
    </dxf>
    <dxf>
      <font>
        <b/>
      </font>
      <fill>
        <patternFill>
          <bgColor theme="9"/>
        </patternFill>
      </fill>
    </dxf>
    <dxf>
      <fill>
        <patternFill>
          <bgColor rgb="FFFFC000"/>
        </patternFill>
      </fill>
    </dxf>
  </dxfs>
  <tableStyles count="0" defaultTableStyle="TableStyleMedium2" defaultPivotStyle="PivotStyleLight16"/>
  <colors>
    <indexedColors>
      <rgbColor rgb="FF000000"/>
      <rgbColor rgb="FFFFFFFF"/>
      <rgbColor rgb="FFFF0000"/>
      <rgbColor rgb="FF00FF00"/>
      <rgbColor rgb="FF0000FF"/>
      <rgbColor rgb="FFFFE04D"/>
      <rgbColor rgb="FFFF00FF"/>
      <rgbColor rgb="FF00FFFF"/>
      <rgbColor rgb="FF9C0006"/>
      <rgbColor rgb="FF006100"/>
      <rgbColor rgb="FF000080"/>
      <rgbColor rgb="FF3B7D23"/>
      <rgbColor rgb="FF800080"/>
      <rgbColor rgb="FF008080"/>
      <rgbColor rgb="FFBFBFBF"/>
      <rgbColor rgb="FF7F7F7F"/>
      <rgbColor rgb="FFF2F2F2"/>
      <rgbColor rgb="FF993366"/>
      <rgbColor rgb="FFFFFFCC"/>
      <rgbColor rgb="FFCCECFF"/>
      <rgbColor rgb="FF660066"/>
      <rgbColor rgb="FFFF8080"/>
      <rgbColor rgb="FF215F9A"/>
      <rgbColor rgb="FFD9D9D9"/>
      <rgbColor rgb="FF000080"/>
      <rgbColor rgb="FFFF00FF"/>
      <rgbColor rgb="FFC8E774"/>
      <rgbColor rgb="FF00FFFF"/>
      <rgbColor rgb="FF800080"/>
      <rgbColor rgb="FF800000"/>
      <rgbColor rgb="FF008080"/>
      <rgbColor rgb="FF0000FF"/>
      <rgbColor rgb="FF00CCFF"/>
      <rgbColor rgb="FFDCEAF7"/>
      <rgbColor rgb="FFC6EFCE"/>
      <rgbColor rgb="FFFFEB9C"/>
      <rgbColor rgb="FFA6CAEC"/>
      <rgbColor rgb="FFE8E8E8"/>
      <rgbColor rgb="FFB4E5A2"/>
      <rgbColor rgb="FFFFC7CE"/>
      <rgbColor rgb="FF4E95D9"/>
      <rgbColor rgb="FF33CCCC"/>
      <rgbColor rgb="FF92D050"/>
      <rgbColor rgb="FFFFC000"/>
      <rgbColor rgb="FFFF9900"/>
      <rgbColor rgb="FFFF6000"/>
      <rgbColor rgb="FF467886"/>
      <rgbColor rgb="FF8ED973"/>
      <rgbColor rgb="FF163E64"/>
      <rgbColor rgb="FF4EA72E"/>
      <rgbColor rgb="EB092A38"/>
      <rgbColor rgb="FF333300"/>
      <rgbColor rgb="FF9C57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400" b="1" strike="noStrike">
                <a:solidFill>
                  <a:srgbClr val="000000"/>
                </a:solidFill>
                <a:uFillTx/>
                <a:latin typeface="Aptos Narrow"/>
              </a:rPr>
              <a:t>Nine Box Score</a:t>
            </a:r>
          </a:p>
        </c:rich>
      </c:tx>
      <c:overlay val="0"/>
      <c:spPr>
        <a:noFill/>
        <a:ln w="0">
          <a:noFill/>
          <a:prstDash val="solid"/>
        </a:ln>
      </c:spPr>
    </c:title>
    <c:autoTitleDeleted val="0"/>
    <c:plotArea>
      <c:layout>
        <c:manualLayout>
          <c:layoutTarget val="inner"/>
          <c:xMode val="edge"/>
          <c:yMode val="edge"/>
          <c:x val="7.2886866059818006E-2"/>
          <c:y val="0.110236220472441"/>
          <c:w val="0.89011703511053297"/>
          <c:h val="0.81682552838789901"/>
        </c:manualLayout>
      </c:layout>
      <c:scatterChart>
        <c:scatterStyle val="lineMarker"/>
        <c:varyColors val="0"/>
        <c:ser>
          <c:idx val="0"/>
          <c:order val="0"/>
          <c:spPr>
            <a:ln w="25560">
              <a:noFill/>
              <a:prstDash val="solid"/>
            </a:ln>
          </c:spPr>
          <c:marker>
            <c:symbol val="circle"/>
            <c:size val="12"/>
            <c:spPr>
              <a:solidFill>
                <a:srgbClr val="000000"/>
              </a:solidFill>
              <a:ln>
                <a:prstDash val="solid"/>
              </a:ln>
            </c:spPr>
          </c:marker>
          <c:dLbls>
            <c:spPr>
              <a:noFill/>
              <a:ln>
                <a:noFill/>
              </a:ln>
              <a:effectLst/>
            </c:spPr>
            <c:txPr>
              <a:bodyPr wrap="square"/>
              <a:lstStyle/>
              <a:p>
                <a:pPr>
                  <a:defRPr sz="1000" b="0" strike="noStrike">
                    <a:solidFill>
                      <a:srgbClr val="000000"/>
                    </a:solidFill>
                    <a:uFillTx/>
                    <a:latin typeface="Aptos Narrow"/>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'Account 9 Box'!$B$134</c:f>
              <c:numCache>
                <c:formatCode>0.000</c:formatCode>
                <c:ptCount val="1"/>
                <c:pt idx="0">
                  <c:v>-4</c:v>
                </c:pt>
              </c:numCache>
            </c:numRef>
          </c:xVal>
          <c:yVal>
            <c:numRef>
              <c:f>'Account 9 Box'!$C$134</c:f>
              <c:numCache>
                <c:formatCode>0.000</c:formatCode>
                <c:ptCount val="1"/>
                <c:pt idx="0">
                  <c:v>3.3999999999999995</c:v>
                </c:pt>
              </c:numCache>
            </c:numRef>
          </c:yVal>
          <c:smooth val="0"/>
          <c:extLst>
            <c:ext xmlns:c16="http://schemas.microsoft.com/office/drawing/2014/chart" uri="{C3380CC4-5D6E-409C-BE32-E72D297353CC}">
              <c16:uniqueId val="{00000000-D8FC-EE47-8867-7E7B36F3666F}"/>
            </c:ext>
          </c:extLst>
        </c:ser>
        <c:dLbls>
          <c:showLegendKey val="0"/>
          <c:showVal val="0"/>
          <c:showCatName val="0"/>
          <c:showSerName val="0"/>
          <c:showPercent val="0"/>
          <c:showBubbleSize val="0"/>
        </c:dLbls>
        <c:axId val="34772473"/>
        <c:axId val="28303966"/>
      </c:scatterChart>
      <c:valAx>
        <c:axId val="34772473"/>
        <c:scaling>
          <c:orientation val="minMax"/>
          <c:max val="5"/>
          <c:min val="-5"/>
        </c:scaling>
        <c:delete val="0"/>
        <c:axPos val="b"/>
        <c:majorGridlines>
          <c:spPr>
            <a:ln w="9360">
              <a:solidFill>
                <a:srgbClr val="D9D9D9"/>
              </a:solidFill>
              <a:prstDash val="solid"/>
              <a:round/>
            </a:ln>
          </c:spPr>
        </c:majorGridlines>
        <c:title>
          <c:tx>
            <c:rich>
              <a:bodyPr rot="0"/>
              <a:lstStyle/>
              <a:p>
                <a:pPr>
                  <a:defRPr sz="1300" b="0" strike="noStrike">
                    <a:uFillTx/>
                    <a:latin typeface="Arial"/>
                  </a:defRPr>
                </a:pPr>
                <a:r>
                  <a:rPr lang="en-US" sz="1000" b="1" strike="noStrike">
                    <a:solidFill>
                      <a:srgbClr val="000000"/>
                    </a:solidFill>
                    <a:uFillTx/>
                    <a:latin typeface="Aptos Narrow"/>
                  </a:rPr>
                  <a:t>Realized</a:t>
                </a:r>
              </a:p>
            </c:rich>
          </c:tx>
          <c:layout>
            <c:manualLayout>
              <c:xMode val="edge"/>
              <c:yMode val="edge"/>
              <c:x val="0.43595578673602098"/>
              <c:y val="0.93443845835060102"/>
            </c:manualLayout>
          </c:layout>
          <c:overlay val="0"/>
          <c:spPr>
            <a:noFill/>
            <a:ln w="0">
              <a:noFill/>
              <a:prstDash val="solid"/>
            </a:ln>
          </c:spPr>
        </c:title>
        <c:numFmt formatCode="#,##0" sourceLinked="0"/>
        <c:majorTickMark val="none"/>
        <c:minorTickMark val="none"/>
        <c:tickLblPos val="nextTo"/>
        <c:spPr>
          <a:ln w="9360">
            <a:solidFill>
              <a:srgbClr val="BFBFBF"/>
            </a:solidFill>
            <a:prstDash val="solid"/>
            <a:round/>
          </a:ln>
        </c:spPr>
        <c:txPr>
          <a:bodyPr/>
          <a:lstStyle/>
          <a:p>
            <a:pPr>
              <a:defRPr sz="900" b="0" strike="noStrike">
                <a:solidFill>
                  <a:srgbClr val="595959"/>
                </a:solidFill>
                <a:uFillTx/>
                <a:latin typeface="Aptos Narrow"/>
              </a:defRPr>
            </a:pPr>
            <a:endParaRPr lang="en-US"/>
          </a:p>
        </c:txPr>
        <c:crossAx val="28303966"/>
        <c:crossesAt val="0"/>
        <c:crossBetween val="midCat"/>
        <c:majorUnit val="1"/>
      </c:valAx>
      <c:valAx>
        <c:axId val="28303966"/>
        <c:scaling>
          <c:orientation val="minMax"/>
          <c:max val="5"/>
          <c:min val="-5"/>
        </c:scaling>
        <c:delete val="0"/>
        <c:axPos val="l"/>
        <c:majorGridlines>
          <c:spPr>
            <a:ln w="9360">
              <a:solidFill>
                <a:srgbClr val="D9D9D9"/>
              </a:solidFill>
              <a:prstDash val="solid"/>
              <a:round/>
            </a:ln>
          </c:spPr>
        </c:majorGridlines>
        <c:title>
          <c:tx>
            <c:rich>
              <a:bodyPr rot="-5400000"/>
              <a:lstStyle/>
              <a:p>
                <a:pPr>
                  <a:defRPr sz="1300" b="0" strike="noStrike">
                    <a:uFillTx/>
                    <a:latin typeface="Arial"/>
                  </a:defRPr>
                </a:pPr>
                <a:r>
                  <a:rPr lang="en-US" sz="1000" b="1" strike="noStrike">
                    <a:solidFill>
                      <a:srgbClr val="000000"/>
                    </a:solidFill>
                    <a:uFillTx/>
                    <a:latin typeface="Aptos Narrow"/>
                  </a:rPr>
                  <a:t>Potential</a:t>
                </a:r>
              </a:p>
            </c:rich>
          </c:tx>
          <c:layout>
            <c:manualLayout>
              <c:xMode val="edge"/>
              <c:yMode val="edge"/>
              <c:x val="1.9505851755526701E-2"/>
              <c:y val="0.46713634479900501"/>
            </c:manualLayout>
          </c:layout>
          <c:overlay val="0"/>
          <c:spPr>
            <a:noFill/>
            <a:ln w="0">
              <a:noFill/>
              <a:prstDash val="solid"/>
            </a:ln>
          </c:spPr>
        </c:title>
        <c:numFmt formatCode="General" sourceLinked="0"/>
        <c:majorTickMark val="none"/>
        <c:minorTickMark val="none"/>
        <c:tickLblPos val="nextTo"/>
        <c:spPr>
          <a:ln w="9360">
            <a:solidFill>
              <a:srgbClr val="BFBFBF"/>
            </a:solidFill>
            <a:prstDash val="solid"/>
            <a:round/>
          </a:ln>
        </c:spPr>
        <c:txPr>
          <a:bodyPr/>
          <a:lstStyle/>
          <a:p>
            <a:pPr>
              <a:defRPr sz="900" b="0" strike="noStrike">
                <a:solidFill>
                  <a:srgbClr val="595959"/>
                </a:solidFill>
                <a:uFillTx/>
                <a:latin typeface="Aptos Narrow"/>
              </a:defRPr>
            </a:pPr>
            <a:endParaRPr lang="en-US"/>
          </a:p>
        </c:txPr>
        <c:crossAx val="34772473"/>
        <c:crossesAt val="0"/>
        <c:crossBetween val="midCat"/>
        <c:majorUnit val="1"/>
      </c:valAx>
    </c:plotArea>
    <c:plotVisOnly val="1"/>
    <c:dispBlanksAs val="gap"/>
    <c:showDLblsOverMax val="1"/>
  </c:chart>
  <c:spPr>
    <a:solidFill>
      <a:srgbClr val="FFFFFF"/>
    </a:solidFill>
    <a:ln w="9360">
      <a:solidFill>
        <a:srgbClr val="092A38"/>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807840</xdr:colOff>
      <xdr:row>31</xdr:row>
      <xdr:rowOff>21960</xdr:rowOff>
    </xdr:from>
    <xdr:to>
      <xdr:col>8</xdr:col>
      <xdr:colOff>29160</xdr:colOff>
      <xdr:row>55</xdr:row>
      <xdr:rowOff>21600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82080</xdr:rowOff>
    </xdr:from>
    <xdr:to>
      <xdr:col>8</xdr:col>
      <xdr:colOff>608400</xdr:colOff>
      <xdr:row>19</xdr:row>
      <xdr:rowOff>145080</xdr:rowOff>
    </xdr:to>
    <xdr:pic>
      <xdr:nvPicPr>
        <xdr:cNvPr id="3" name="Graphic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a:fillRect/>
        </a:stretch>
      </xdr:blipFill>
      <xdr:spPr>
        <a:xfrm>
          <a:off x="0" y="263160"/>
          <a:ext cx="6923520" cy="332028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905040</xdr:colOff>
      <xdr:row>0</xdr:row>
      <xdr:rowOff>57240</xdr:rowOff>
    </xdr:from>
    <xdr:to>
      <xdr:col>9</xdr:col>
      <xdr:colOff>819000</xdr:colOff>
      <xdr:row>1</xdr:row>
      <xdr:rowOff>209160</xdr:rowOff>
    </xdr:to>
    <xdr:pic>
      <xdr:nvPicPr>
        <xdr:cNvPr id="2" name="Picture 2" descr="Medica Announces $1.35 Million Gift to Washburn Center">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12487320" y="57240"/>
          <a:ext cx="1539720" cy="561600"/>
        </a:xfrm>
        <a:prstGeom prst="rect">
          <a:avLst/>
        </a:prstGeom>
        <a:noFill/>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254520</xdr:colOff>
      <xdr:row>0</xdr:row>
      <xdr:rowOff>125640</xdr:rowOff>
    </xdr:from>
    <xdr:to>
      <xdr:col>9</xdr:col>
      <xdr:colOff>980640</xdr:colOff>
      <xdr:row>2</xdr:row>
      <xdr:rowOff>42480</xdr:rowOff>
    </xdr:to>
    <xdr:pic>
      <xdr:nvPicPr>
        <xdr:cNvPr id="3" name="Picture 1">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tretch>
          <a:fillRect/>
        </a:stretch>
      </xdr:blipFill>
      <xdr:spPr>
        <a:xfrm>
          <a:off x="13157640" y="125640"/>
          <a:ext cx="2478960" cy="516960"/>
        </a:xfrm>
        <a:prstGeom prst="rect">
          <a:avLst/>
        </a:prstGeom>
        <a:noFill/>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improving.crm.dynamics.com/main.aspx?appid=f131b2e1-596e-ec11-8943-000d3a9b1946&amp;forceUCI=1&amp;pagetype=entityrecord&amp;etn=account&amp;id=1c351a26-b77a-e611-80f6-5065f38ba12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improving.crm.dynamics.com/main.aspx?appid=f131b2e1-596e-ec11-8943-000d3a9b1946&amp;forceUCI=1&amp;pagetype=entityrecord&amp;etn=account&amp;id=1c351a26-b77a-e611-80f6-5065f38ba121"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behaimits.com/%20-%20Currently%20using%20for%20maintainance%20(not%20sure%20where%20in%20org),%20taking%20over%20Data%20Logistics%20maintenance%20at%20low%20cost%20(%3C$85/h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5"/>
  <sheetViews>
    <sheetView zoomScale="80" zoomScaleNormal="80" workbookViewId="0">
      <pane xSplit="3" ySplit="1" topLeftCell="D2" activePane="bottomRight" state="frozen"/>
      <selection pane="topRight" activeCell="D1" sqref="D1"/>
      <selection pane="bottomLeft" activeCell="A41" sqref="A41"/>
      <selection pane="bottomRight" activeCell="C12" sqref="C12"/>
    </sheetView>
  </sheetViews>
  <sheetFormatPr baseColWidth="10" defaultColWidth="11.6640625" defaultRowHeight="15.75" customHeight="1" x14ac:dyDescent="0.2"/>
  <cols>
    <col min="1" max="1" width="5" style="1" customWidth="1"/>
    <col min="2" max="2" width="51" style="1" customWidth="1"/>
    <col min="3" max="3" width="17.5" style="1" customWidth="1"/>
    <col min="4" max="4" width="16" style="1" customWidth="1"/>
    <col min="5" max="8" width="15.1640625" style="1" customWidth="1"/>
    <col min="9" max="9" width="21.5" style="1" customWidth="1"/>
    <col min="10" max="10" width="18.33203125" style="1" customWidth="1"/>
    <col min="11" max="11" width="20" style="1" customWidth="1"/>
    <col min="12" max="12" width="18.83203125" style="1" customWidth="1"/>
    <col min="13" max="15" width="15.1640625" style="1" customWidth="1"/>
    <col min="16" max="16" width="11.6640625" style="1" customWidth="1"/>
    <col min="17" max="16384" width="11.6640625" style="1"/>
  </cols>
  <sheetData>
    <row r="1" spans="1:11" s="3" customFormat="1" ht="32.25" customHeight="1" x14ac:dyDescent="0.2">
      <c r="A1" s="299" t="s">
        <v>0</v>
      </c>
      <c r="B1" s="300"/>
      <c r="C1" s="300"/>
      <c r="D1" s="300"/>
      <c r="E1" s="2"/>
      <c r="F1" s="2"/>
      <c r="G1" s="2"/>
      <c r="H1" s="2"/>
      <c r="I1" s="299"/>
      <c r="J1" s="300"/>
    </row>
    <row r="2" spans="1:11" s="4" customFormat="1" ht="24.75" customHeight="1" x14ac:dyDescent="0.2">
      <c r="B2" s="5" t="s">
        <v>1</v>
      </c>
      <c r="C2" s="6" t="s">
        <v>2</v>
      </c>
      <c r="D2" s="7"/>
      <c r="E2" s="7"/>
    </row>
    <row r="3" spans="1:11" s="8" customFormat="1" ht="20.25" customHeight="1" x14ac:dyDescent="0.2">
      <c r="B3" s="9" t="s">
        <v>3</v>
      </c>
      <c r="C3" s="10" t="s">
        <v>4</v>
      </c>
      <c r="D3" s="11"/>
      <c r="E3" s="7"/>
      <c r="F3" s="7"/>
      <c r="G3" s="4"/>
      <c r="H3" s="4">
        <v>62</v>
      </c>
      <c r="I3" s="4"/>
      <c r="J3" s="12">
        <v>252</v>
      </c>
      <c r="K3" s="4"/>
    </row>
    <row r="4" spans="1:11" ht="15.75" customHeight="1" x14ac:dyDescent="0.2">
      <c r="B4" s="13"/>
      <c r="C4" s="14" t="s">
        <v>5</v>
      </c>
      <c r="D4" s="14" t="s">
        <v>6</v>
      </c>
      <c r="E4" s="14" t="s">
        <v>7</v>
      </c>
      <c r="F4" s="14" t="s">
        <v>8</v>
      </c>
      <c r="G4" s="14" t="s">
        <v>9</v>
      </c>
      <c r="H4" s="14" t="s">
        <v>10</v>
      </c>
      <c r="I4" s="14" t="s">
        <v>11</v>
      </c>
      <c r="J4" s="15" t="s">
        <v>12</v>
      </c>
    </row>
    <row r="5" spans="1:11" ht="15.75" customHeight="1" x14ac:dyDescent="0.2">
      <c r="B5" s="16" t="s">
        <v>13</v>
      </c>
      <c r="C5" s="17">
        <v>0</v>
      </c>
      <c r="D5" s="18">
        <f>C5*E5</f>
        <v>0</v>
      </c>
      <c r="E5" s="19"/>
      <c r="F5" s="17">
        <v>50000</v>
      </c>
      <c r="G5" s="18">
        <f>F5*H5</f>
        <v>19000</v>
      </c>
      <c r="H5" s="19">
        <v>0.38</v>
      </c>
      <c r="I5" s="18">
        <f>F5/H3</f>
        <v>806.45161290322585</v>
      </c>
      <c r="J5" s="20">
        <f>I5*J3</f>
        <v>203225.80645161291</v>
      </c>
    </row>
    <row r="6" spans="1:11" ht="15.75" customHeight="1" x14ac:dyDescent="0.2">
      <c r="D6" s="21"/>
      <c r="G6" s="21"/>
    </row>
    <row r="7" spans="1:11" ht="15.75" customHeight="1" x14ac:dyDescent="0.2">
      <c r="B7" s="13" t="s">
        <v>14</v>
      </c>
      <c r="C7" s="22">
        <f>'Account 9 Box'!F124</f>
        <v>3.3999999999999995</v>
      </c>
      <c r="F7" s="306" t="s">
        <v>15</v>
      </c>
      <c r="G7" s="303"/>
      <c r="H7" s="303"/>
      <c r="I7" s="303"/>
      <c r="J7" s="304"/>
    </row>
    <row r="8" spans="1:11" ht="15.75" customHeight="1" x14ac:dyDescent="0.2">
      <c r="B8" s="23" t="s">
        <v>16</v>
      </c>
      <c r="C8" s="24">
        <f>'Account 9 Box'!F131</f>
        <v>-4</v>
      </c>
      <c r="F8" s="301"/>
      <c r="G8" s="290"/>
      <c r="H8" s="290"/>
      <c r="I8" s="290"/>
      <c r="J8" s="291"/>
    </row>
    <row r="9" spans="1:11" ht="15.75" customHeight="1" x14ac:dyDescent="0.2">
      <c r="B9" s="25" t="s">
        <v>17</v>
      </c>
      <c r="C9" s="26" t="str">
        <f t="array" ref="C9">_xlfn.IFS('Account 9 Box'!B134 &lt;-1.67,IF('Account 9 Box'!C134 &lt;-1.67,"LIMITED",IF('Account 9 Box'!C134 &lt; 1.67,"SOLID","SIGNIFICANT")),'Account 9 Box'!B134 &lt; 1.67,IF('Account 9 Box'!C134 &lt;-1.67,"CONSTRAINED",IF('Account 9 Box'!C134 &lt; 1.67,"CORE","POISED")),TRUE(),IF('Account 9 Box'!C134 &lt;-1.67,"CAPPED",IF('Account 9 Box'!C134 &lt; 1.67,"STEADY","IDEAL")))</f>
        <v>SIGNIFICANT</v>
      </c>
      <c r="F9" s="301"/>
      <c r="G9" s="290"/>
      <c r="H9" s="290"/>
      <c r="I9" s="290"/>
      <c r="J9" s="291"/>
    </row>
    <row r="10" spans="1:11" ht="15.75" customHeight="1" x14ac:dyDescent="0.2">
      <c r="F10" s="301"/>
      <c r="G10" s="290"/>
      <c r="H10" s="290"/>
      <c r="I10" s="290"/>
      <c r="J10" s="291"/>
    </row>
    <row r="11" spans="1:11" ht="15.75" customHeight="1" x14ac:dyDescent="0.2">
      <c r="B11" s="27" t="s">
        <v>18</v>
      </c>
      <c r="C11" s="28" t="s">
        <v>19</v>
      </c>
      <c r="D11" s="29" t="s">
        <v>20</v>
      </c>
      <c r="F11" s="301"/>
      <c r="G11" s="290"/>
      <c r="H11" s="290"/>
      <c r="I11" s="290"/>
      <c r="J11" s="291"/>
    </row>
    <row r="12" spans="1:11" ht="15.75" customHeight="1" x14ac:dyDescent="0.2">
      <c r="B12" s="30" t="s">
        <v>21</v>
      </c>
      <c r="C12" s="31">
        <v>0</v>
      </c>
      <c r="D12" s="32">
        <v>0</v>
      </c>
      <c r="F12" s="301"/>
      <c r="G12" s="290"/>
      <c r="H12" s="290"/>
      <c r="I12" s="290"/>
      <c r="J12" s="291"/>
    </row>
    <row r="13" spans="1:11" ht="15.75" customHeight="1" x14ac:dyDescent="0.2">
      <c r="B13" s="30" t="s">
        <v>22</v>
      </c>
      <c r="C13" s="31">
        <v>0</v>
      </c>
      <c r="D13" s="32">
        <v>0</v>
      </c>
      <c r="F13" s="298"/>
      <c r="G13" s="293"/>
      <c r="H13" s="293"/>
      <c r="I13" s="293"/>
      <c r="J13" s="294"/>
    </row>
    <row r="14" spans="1:11" ht="15.75" customHeight="1" x14ac:dyDescent="0.2">
      <c r="B14" s="33" t="s">
        <v>23</v>
      </c>
      <c r="C14" s="34">
        <v>0</v>
      </c>
      <c r="D14" s="35">
        <v>0</v>
      </c>
    </row>
    <row r="15" spans="1:11" ht="16.5" customHeight="1" x14ac:dyDescent="0.2">
      <c r="B15" s="25"/>
      <c r="C15" s="36">
        <f>SUM(C12:C14)</f>
        <v>0</v>
      </c>
      <c r="D15" s="37" t="e">
        <f>((D12*C12)+(D13*C13)+(D14*C14))/C15</f>
        <v>#DIV/0!</v>
      </c>
    </row>
    <row r="16" spans="1:11" ht="15.75" customHeight="1" x14ac:dyDescent="0.2">
      <c r="E16" s="38"/>
    </row>
    <row r="17" spans="1:5" ht="15.75" customHeight="1" x14ac:dyDescent="0.2">
      <c r="B17" s="39" t="s">
        <v>24</v>
      </c>
      <c r="C17" s="15" t="s">
        <v>25</v>
      </c>
      <c r="E17" s="38"/>
    </row>
    <row r="18" spans="1:5" ht="15.75" customHeight="1" x14ac:dyDescent="0.2">
      <c r="B18" s="40" t="s">
        <v>26</v>
      </c>
      <c r="C18" s="41" t="str">
        <f ca="1">IF(C20="Behind","Behind",IF(AND(C20="On Track",C27="On Track"),"On Track",IF(AND(C20="On Track",OR(C27="Lagging",C27="Behind")),"Lagging",IF(AND(C20="Lagging",C27="Lagging"),"Lagging",IF(AND(C20="Lagging",C27="Behind"),"Lagging",IF(AND(C20="Lagging",C27="On Track"),"Lagging",IF(AND(C20="Behind",C27="Behind"),"Behind","")))))))</f>
        <v>Behind</v>
      </c>
      <c r="D18" s="42"/>
      <c r="E18" s="38"/>
    </row>
    <row r="19" spans="1:5" ht="15.75" customHeight="1" x14ac:dyDescent="0.2">
      <c r="E19" s="38"/>
    </row>
    <row r="20" spans="1:5" ht="15.75" customHeight="1" x14ac:dyDescent="0.2">
      <c r="B20" s="43" t="s">
        <v>27</v>
      </c>
      <c r="C20" s="41" t="str">
        <f t="array" aca="1" ref="C20" ca="1">IF(SUMPRODUCT((A21:A26="!")*(C21:C26="Behind"))&gt;0,"Behind",IF(SUMPRODUCT((A21:A26="!")*(C21:C26="Lagging"))&gt;0,"Lagging",IF(SUMPRODUCT((A21:A26="!")*(C21:C26="On Track"))=SUMPRODUCT((A21:A26="!")*(C21:C26&lt;&gt;"")),"On Track","")))</f>
        <v>Behind</v>
      </c>
      <c r="E20" s="38"/>
    </row>
    <row r="21" spans="1:5" ht="15.75" customHeight="1" x14ac:dyDescent="0.2">
      <c r="A21" s="44" t="str">
        <f t="shared" ref="A21:B26" si="0">A37</f>
        <v>!</v>
      </c>
      <c r="B21" s="45" t="str">
        <f t="shared" si="0"/>
        <v>2026 Revenue (YTD) Goal</v>
      </c>
      <c r="C21" s="46" t="str">
        <f ca="1">C49</f>
        <v>Behind</v>
      </c>
      <c r="E21" s="38"/>
    </row>
    <row r="22" spans="1:5" ht="15.75" customHeight="1" x14ac:dyDescent="0.2">
      <c r="A22" s="44" t="str">
        <f t="shared" si="0"/>
        <v>!</v>
      </c>
      <c r="B22" s="47" t="str">
        <f t="shared" si="0"/>
        <v>2026 Quarterly Revenue Goal</v>
      </c>
      <c r="C22" s="48" t="str">
        <f t="array" aca="1" ref="C22" ca="1">_xlfn.LET(
  _xlpm.today, TODAY(),
  _xlpm.m, MONTH(_xlpm.today),
  _xlpm.decActual, O51,
  _xlpm.effM,
    IF(
      _xlpm.m=1,
      IF(_xlpm.decActual&lt;&gt;"",12,1),
      IF(
        _xlpm.m=12,
        IF(_xlpm.decActual&lt;&gt;"",12,11),
        MAX(1,_xlpm.m-1)
      )
    ),
  _xlpm.q, INT((_xlpm.effM-1)/3)+1,
  _xlpm.qStart, (_xlpm.q-1)*3+1,
  _xlpm.monthsDone, MAX(0, _xlpm.effM - _xlpm.qStart + 1),
  _xlpm.actualsRow, D51:O51,
  _xlpm.qGoals, D38:G38,
  IF(
    AND(_xlpm.m=1, _xlpm.decActual=""),
    "On Track",
    _xlfn.LET(
      _xlpm.actualsqtd,
        IF(
          _xlpm.monthsDone=0,
          0,
          SUM(
            INDEX(_xlpm.actualsRow,1,_xlpm.qStart):
            INDEX(_xlpm.actualsRow,1,_xlpm.qStart+_xlpm.monthsDone-1)
          )
        ),
      _xlpm.goalq, INDEX(_xlpm.qGoals,1,_xlpm.q),
      _xlpm.goalqtd, _xlpm.goalq * _xlpm.monthsDone / 3,
      _xlpm.ratio, IF(OR(_xlpm.goalqtd=0, _xlpm.monthsDone=0), 1, _xlpm.actualsqtd / _xlpm.goalqtd),
      IF(_xlpm.ratio&lt;0.85,"Behind",IF(_xlpm.ratio&lt;1,"Lagging","On Track"))
    )
  )
)</f>
        <v>Behind</v>
      </c>
      <c r="D22" s="21"/>
      <c r="E22" s="38"/>
    </row>
    <row r="23" spans="1:5" ht="15.75" customHeight="1" x14ac:dyDescent="0.2">
      <c r="A23" s="44" t="str">
        <f t="shared" si="0"/>
        <v>!</v>
      </c>
      <c r="B23" s="45" t="str">
        <f t="shared" si="0"/>
        <v>2026 GM Goal</v>
      </c>
      <c r="C23" s="46" t="str">
        <f ca="1">C55</f>
        <v>Behind</v>
      </c>
      <c r="E23" s="38"/>
    </row>
    <row r="24" spans="1:5" ht="15.75" customHeight="1" x14ac:dyDescent="0.2">
      <c r="A24" s="44" t="str">
        <f t="shared" si="0"/>
        <v>!</v>
      </c>
      <c r="B24" s="47" t="str">
        <f t="shared" si="0"/>
        <v>2026 Quarterly GP Goal</v>
      </c>
      <c r="C24" s="46" t="str">
        <f t="array" aca="1" ref="C24" ca="1">_xlfn.LET(
  _xlpm.today, TODAY(),
  _xlpm.m, MONTH(_xlpm.today),
  _xlpm.decActual, O58,
  _xlpm.effM,
    IF(
      _xlpm.m=1,
      IF(_xlpm.decActual&lt;&gt;"",12,1),
      IF(
        _xlpm.m=12,
        IF(_xlpm.decActual&lt;&gt;"",12,11),
        MAX(1,_xlpm.m-1)
      )
    ),
  _xlpm.q, INT((_xlpm.effM-1)/3)+1,
  _xlpm.qStart, (_xlpm.q-1)*3+1,
  _xlpm.monthsDone, MAX(0, _xlpm.effM - _xlpm.qStart + 1),
  _xlpm.actualsRow, D58:O58,
  _xlpm.qGoals, D40:G40,
  IF(
    AND(_xlpm.m=1, _xlpm.decActual=""),
    "On Track",
    _xlfn.LET(
      _xlpm.actualsqtd,
        IF(
          _xlpm.monthsDone=0,
          0,
          SUM(
            INDEX(_xlpm.actualsRow,1,_xlpm.qStart):
            INDEX(_xlpm.actualsRow,1,_xlpm.qStart+_xlpm.monthsDone-1)
          )
        ),
      _xlpm.goalq, INDEX(_xlpm.qGoals,1,_xlpm.q),
      _xlpm.goalqtd, _xlpm.goalq * _xlpm.monthsDone / 3,
      _xlpm.ratio, IF(OR(_xlpm.goalqtd=0, _xlpm.monthsDone=0), 1, _xlpm.actualsqtd / _xlpm.goalqtd),
      IF(_xlpm.ratio&lt;0.85,"Behind",IF(_xlpm.ratio&lt;1,"Lagging","On Track"))
    )
  )
)</f>
        <v>Behind</v>
      </c>
      <c r="D24" s="21"/>
      <c r="E24" s="38"/>
    </row>
    <row r="25" spans="1:5" ht="15.75" customHeight="1" x14ac:dyDescent="0.2">
      <c r="A25" s="44" t="str">
        <f t="shared" si="0"/>
        <v>2nd</v>
      </c>
      <c r="B25" s="45" t="str">
        <f t="shared" si="0"/>
        <v>OBJ: Establish Kubota as reference account for financial services vertical</v>
      </c>
      <c r="C25" s="46" t="str">
        <f ca="1">C62</f>
        <v>Behind</v>
      </c>
      <c r="E25" s="38"/>
    </row>
    <row r="26" spans="1:5" ht="15.75" customHeight="1" x14ac:dyDescent="0.2">
      <c r="A26" s="44" t="str">
        <f t="shared" si="0"/>
        <v>2nd</v>
      </c>
      <c r="B26" s="49" t="str">
        <f t="shared" si="0"/>
        <v>OBJ: Expand relationship map — connect with VP Engineering &amp; Data teams</v>
      </c>
      <c r="C26" s="46" t="str">
        <f ca="1">C66</f>
        <v>Behind</v>
      </c>
      <c r="E26" s="38"/>
    </row>
    <row r="27" spans="1:5" ht="15.75" customHeight="1" x14ac:dyDescent="0.2">
      <c r="B27" s="43" t="s">
        <v>28</v>
      </c>
      <c r="C27" s="41" t="str">
        <f t="array" aca="1" ref="C27" ca="1">IF(SUMPRODUCT((A28:A33="!")*(C28:C33=0))&gt;0,"Behind",IF(SUMPRODUCT((A28:A33="!")*(C28:C33="Behind"))&gt;0,"Behind",IF(SUMPRODUCT((A28:A33="!")*(C28:C33="Lagging"))&gt;0,"Lagging",IF(SUMPRODUCT((A28:A33="!")*((C28:C33="On Track")+(C28:C33="Complete")))&gt;0,"On Track",""))))</f>
        <v>Behind</v>
      </c>
      <c r="D27" s="42"/>
    </row>
    <row r="28" spans="1:5" ht="15.75" customHeight="1" x14ac:dyDescent="0.2">
      <c r="B28" s="49" t="str">
        <f>B52</f>
        <v>ACT: Close Kafka POC ($50K) — CDC proof-of-concept with Confluent</v>
      </c>
      <c r="C28" s="46" t="str">
        <f ca="1">C52</f>
        <v>Behind</v>
      </c>
      <c r="E28" s="38"/>
    </row>
    <row r="29" spans="1:5" ht="15.75" customHeight="1" x14ac:dyDescent="0.2">
      <c r="B29" s="49" t="str">
        <f>B53</f>
        <v>ACT: Expand to Phase 2 — Event-driven architecture &amp; Flink processing</v>
      </c>
      <c r="C29" s="46" t="str">
        <f ca="1">C53</f>
        <v>Behind</v>
      </c>
      <c r="D29" s="50"/>
      <c r="E29" s="38"/>
    </row>
    <row r="30" spans="1:5" ht="15.75" customHeight="1" x14ac:dyDescent="0.2">
      <c r="A30" s="44" t="s">
        <v>29</v>
      </c>
      <c r="B30" s="49" t="str">
        <f>B72</f>
        <v>Team Quick Reviews Status</v>
      </c>
      <c r="C30" s="46">
        <f>C72</f>
        <v>0</v>
      </c>
      <c r="E30" s="38"/>
    </row>
    <row r="31" spans="1:5" ht="15.75" customHeight="1" x14ac:dyDescent="0.2">
      <c r="A31" s="44" t="s">
        <v>29</v>
      </c>
      <c r="B31" s="49" t="str">
        <f>B79</f>
        <v>Account Review / QBR (In Person with Sr. Exec) Status</v>
      </c>
      <c r="C31" s="46">
        <f>C79</f>
        <v>0</v>
      </c>
      <c r="E31" s="38"/>
    </row>
    <row r="32" spans="1:5" ht="15.75" customHeight="1" x14ac:dyDescent="0.2">
      <c r="A32" s="44"/>
      <c r="B32" s="51" t="str">
        <f>B84</f>
        <v>(IF Enterprise Top 10 ) Quarterly President In Person Status</v>
      </c>
      <c r="C32" s="52">
        <f>C84</f>
        <v>0</v>
      </c>
      <c r="E32" s="38"/>
    </row>
    <row r="33" spans="1:18" ht="15.75" customHeight="1" x14ac:dyDescent="0.2">
      <c r="B33" s="53"/>
      <c r="E33" s="38"/>
    </row>
    <row r="34" spans="1:18" ht="15.75" customHeight="1" x14ac:dyDescent="0.2">
      <c r="B34" s="53"/>
      <c r="E34" s="38"/>
    </row>
    <row r="35" spans="1:18" ht="15.75" customHeight="1" x14ac:dyDescent="0.2">
      <c r="D35" s="54"/>
      <c r="E35" s="54"/>
      <c r="F35" s="54"/>
      <c r="G35" s="54"/>
    </row>
    <row r="36" spans="1:18" ht="15.75" customHeight="1" x14ac:dyDescent="0.2">
      <c r="B36" s="27" t="s">
        <v>30</v>
      </c>
      <c r="C36" s="55" t="s">
        <v>31</v>
      </c>
      <c r="D36" s="56" t="s">
        <v>32</v>
      </c>
      <c r="E36" s="56" t="s">
        <v>33</v>
      </c>
      <c r="F36" s="56" t="s">
        <v>34</v>
      </c>
      <c r="G36" s="56" t="s">
        <v>35</v>
      </c>
      <c r="H36" s="28" t="s">
        <v>36</v>
      </c>
      <c r="I36" s="55" t="s">
        <v>37</v>
      </c>
      <c r="J36" s="55"/>
      <c r="K36" s="57"/>
    </row>
    <row r="37" spans="1:18" ht="15.75" customHeight="1" x14ac:dyDescent="0.2">
      <c r="A37" s="44" t="s">
        <v>29</v>
      </c>
      <c r="B37" s="23" t="s">
        <v>38</v>
      </c>
      <c r="C37" s="58">
        <v>150000</v>
      </c>
      <c r="D37" s="38">
        <f>D38</f>
        <v>31500</v>
      </c>
      <c r="E37" s="38">
        <f>E38+D37</f>
        <v>66000</v>
      </c>
      <c r="F37" s="38">
        <f>F38+E37</f>
        <v>106500</v>
      </c>
      <c r="G37" s="38">
        <f>G38+F37</f>
        <v>150000</v>
      </c>
      <c r="H37" s="59">
        <v>400000</v>
      </c>
      <c r="I37" s="289"/>
      <c r="J37" s="290"/>
      <c r="K37" s="291"/>
    </row>
    <row r="38" spans="1:18" ht="15.75" customHeight="1" x14ac:dyDescent="0.2">
      <c r="A38" s="44" t="s">
        <v>29</v>
      </c>
      <c r="B38" s="30" t="s">
        <v>39</v>
      </c>
      <c r="C38" s="50"/>
      <c r="D38" s="38">
        <f>$C$37*0.21</f>
        <v>31500</v>
      </c>
      <c r="E38" s="38">
        <f>$C$37*0.23</f>
        <v>34500</v>
      </c>
      <c r="F38" s="38">
        <f>$C$37*0.27</f>
        <v>40500</v>
      </c>
      <c r="G38" s="38">
        <f>$C$37*0.29</f>
        <v>43500</v>
      </c>
      <c r="H38" s="38"/>
      <c r="I38" s="307" t="s">
        <v>40</v>
      </c>
      <c r="J38" s="290"/>
      <c r="K38" s="291"/>
    </row>
    <row r="39" spans="1:18" ht="15.75" customHeight="1" x14ac:dyDescent="0.2">
      <c r="A39" s="44" t="s">
        <v>29</v>
      </c>
      <c r="B39" s="23" t="s">
        <v>41</v>
      </c>
      <c r="C39" s="61">
        <v>0.38</v>
      </c>
      <c r="D39" s="62">
        <f>$C$39</f>
        <v>0.38</v>
      </c>
      <c r="E39" s="62">
        <f>$C$39</f>
        <v>0.38</v>
      </c>
      <c r="F39" s="62">
        <f>$C$39</f>
        <v>0.38</v>
      </c>
      <c r="G39" s="62">
        <f>$C$39</f>
        <v>0.38</v>
      </c>
      <c r="H39" s="62"/>
      <c r="I39" s="289"/>
      <c r="J39" s="290"/>
      <c r="K39" s="291"/>
    </row>
    <row r="40" spans="1:18" ht="15.75" customHeight="1" x14ac:dyDescent="0.2">
      <c r="A40" s="44" t="s">
        <v>29</v>
      </c>
      <c r="B40" s="30" t="s">
        <v>42</v>
      </c>
      <c r="C40" s="38"/>
      <c r="D40" s="38">
        <f>D38*D39</f>
        <v>11970</v>
      </c>
      <c r="E40" s="38">
        <f>E38*E39</f>
        <v>13110</v>
      </c>
      <c r="F40" s="38">
        <f>F38*F39</f>
        <v>15390</v>
      </c>
      <c r="G40" s="38">
        <f>G38*G39</f>
        <v>16530</v>
      </c>
      <c r="H40" s="38"/>
      <c r="I40" s="289"/>
      <c r="J40" s="290"/>
      <c r="K40" s="291"/>
    </row>
    <row r="41" spans="1:18" ht="15.75" customHeight="1" x14ac:dyDescent="0.2">
      <c r="A41" s="44" t="s">
        <v>43</v>
      </c>
      <c r="B41" s="23" t="str">
        <f>B62</f>
        <v>OBJ: Establish Kubota as reference account for financial services vertical</v>
      </c>
      <c r="C41" s="63"/>
      <c r="D41" s="63"/>
      <c r="E41" s="63"/>
      <c r="F41" s="63"/>
      <c r="G41" s="63"/>
      <c r="I41" s="289"/>
      <c r="J41" s="290"/>
      <c r="K41" s="291"/>
    </row>
    <row r="42" spans="1:18" ht="15.75" customHeight="1" x14ac:dyDescent="0.2">
      <c r="A42" s="44" t="s">
        <v>43</v>
      </c>
      <c r="B42" s="64" t="str">
        <f>B66</f>
        <v>OBJ: Expand relationship map — connect with VP Engineering &amp; Data teams</v>
      </c>
      <c r="C42" s="63"/>
      <c r="D42" s="63"/>
      <c r="E42" s="63"/>
      <c r="F42" s="63"/>
      <c r="G42" s="63"/>
      <c r="I42" s="289"/>
      <c r="J42" s="290"/>
      <c r="K42" s="291"/>
    </row>
    <row r="43" spans="1:18" ht="15.75" customHeight="1" x14ac:dyDescent="0.2">
      <c r="A43" s="44" t="s">
        <v>43</v>
      </c>
      <c r="B43" s="65"/>
      <c r="C43" s="36"/>
      <c r="D43" s="36"/>
      <c r="E43" s="36"/>
      <c r="F43" s="36"/>
      <c r="G43" s="36"/>
      <c r="H43" s="36"/>
      <c r="I43" s="66"/>
      <c r="J43" s="67"/>
      <c r="K43" s="68"/>
      <c r="L43" s="69"/>
    </row>
    <row r="44" spans="1:18" ht="15.75" customHeight="1" x14ac:dyDescent="0.2">
      <c r="A44" s="44"/>
      <c r="B44" s="69"/>
      <c r="I44" s="69"/>
      <c r="J44" s="69"/>
      <c r="K44" s="69"/>
    </row>
    <row r="45" spans="1:18" ht="15.75" customHeight="1" x14ac:dyDescent="0.2">
      <c r="A45" s="44"/>
      <c r="B45" s="69"/>
      <c r="I45" s="69"/>
      <c r="J45" s="69"/>
      <c r="K45" s="69"/>
    </row>
    <row r="46" spans="1:18" ht="15.75" customHeight="1" x14ac:dyDescent="0.2">
      <c r="A46" s="44"/>
      <c r="B46" s="69"/>
      <c r="I46" s="69"/>
      <c r="J46" s="69"/>
      <c r="K46" s="69"/>
    </row>
    <row r="47" spans="1:18" ht="15.75" customHeight="1" x14ac:dyDescent="0.2">
      <c r="C47" s="21"/>
    </row>
    <row r="48" spans="1:18" ht="15.75" customHeight="1" x14ac:dyDescent="0.2">
      <c r="B48" s="27" t="s">
        <v>44</v>
      </c>
      <c r="C48" s="14" t="s">
        <v>25</v>
      </c>
      <c r="D48" s="70">
        <v>46023</v>
      </c>
      <c r="E48" s="70">
        <f t="shared" ref="E48:O48" si="1">EDATE(D48,1)</f>
        <v>46054</v>
      </c>
      <c r="F48" s="70">
        <f t="shared" si="1"/>
        <v>46082</v>
      </c>
      <c r="G48" s="70">
        <f t="shared" si="1"/>
        <v>46113</v>
      </c>
      <c r="H48" s="70">
        <f t="shared" si="1"/>
        <v>46143</v>
      </c>
      <c r="I48" s="70">
        <f t="shared" si="1"/>
        <v>46174</v>
      </c>
      <c r="J48" s="70">
        <f t="shared" si="1"/>
        <v>46204</v>
      </c>
      <c r="K48" s="70">
        <f t="shared" si="1"/>
        <v>46235</v>
      </c>
      <c r="L48" s="70">
        <f t="shared" si="1"/>
        <v>46266</v>
      </c>
      <c r="M48" s="70">
        <f t="shared" si="1"/>
        <v>46296</v>
      </c>
      <c r="N48" s="70">
        <f t="shared" si="1"/>
        <v>46327</v>
      </c>
      <c r="O48" s="70">
        <f t="shared" si="1"/>
        <v>46357</v>
      </c>
      <c r="P48" s="302" t="s">
        <v>37</v>
      </c>
      <c r="Q48" s="303"/>
      <c r="R48" s="304"/>
    </row>
    <row r="49" spans="1:22" ht="15.75" customHeight="1" x14ac:dyDescent="0.2">
      <c r="A49" s="44" t="s">
        <v>29</v>
      </c>
      <c r="B49" s="23" t="s">
        <v>45</v>
      </c>
      <c r="C49" s="71" t="str">
        <f ca="1">IF(ISBLANK(C51),"",IF(C51&gt;=C50,"On Track",IF(C51/C50&gt;=0.85,"Lagging","Behind")))</f>
        <v>Behind</v>
      </c>
      <c r="D49" s="71" t="str">
        <f t="shared" ref="D49:O49" si="2">IF(ISBLANK(D51),"",IF(D51&gt;=D50,"On Track",IF(D51/D50&gt;=0.51,"Lagging","Behind")))</f>
        <v/>
      </c>
      <c r="E49" s="71" t="str">
        <f t="shared" si="2"/>
        <v/>
      </c>
      <c r="F49" s="71" t="str">
        <f t="shared" si="2"/>
        <v/>
      </c>
      <c r="G49" s="71" t="str">
        <f t="shared" si="2"/>
        <v/>
      </c>
      <c r="H49" s="71" t="str">
        <f t="shared" si="2"/>
        <v/>
      </c>
      <c r="I49" s="71" t="str">
        <f t="shared" si="2"/>
        <v/>
      </c>
      <c r="J49" s="71" t="str">
        <f t="shared" si="2"/>
        <v/>
      </c>
      <c r="K49" s="71" t="str">
        <f t="shared" si="2"/>
        <v/>
      </c>
      <c r="L49" s="71" t="str">
        <f t="shared" si="2"/>
        <v/>
      </c>
      <c r="M49" s="71" t="str">
        <f t="shared" si="2"/>
        <v/>
      </c>
      <c r="N49" s="71" t="str">
        <f t="shared" si="2"/>
        <v/>
      </c>
      <c r="O49" s="71" t="str">
        <f t="shared" si="2"/>
        <v/>
      </c>
      <c r="P49" s="289"/>
      <c r="Q49" s="290"/>
      <c r="R49" s="291"/>
    </row>
    <row r="50" spans="1:22" s="77" customFormat="1" ht="12.75" customHeight="1" x14ac:dyDescent="0.2">
      <c r="A50" s="72"/>
      <c r="B50" s="73" t="s">
        <v>46</v>
      </c>
      <c r="C50" s="74">
        <f t="array" aca="1" ref="C50" ca="1">SUMPRODUCT((D$48:O$48&lt;=EDATE(TODAY(),-1))*(D50:O50))</f>
        <v>21000</v>
      </c>
      <c r="D50" s="74">
        <f>$D38/3</f>
        <v>10500</v>
      </c>
      <c r="E50" s="74">
        <f>$D38/3</f>
        <v>10500</v>
      </c>
      <c r="F50" s="74">
        <f>$D38/3</f>
        <v>10500</v>
      </c>
      <c r="G50" s="74">
        <f>$E38/3</f>
        <v>11500</v>
      </c>
      <c r="H50" s="74">
        <f>$E38/3</f>
        <v>11500</v>
      </c>
      <c r="I50" s="74">
        <f>$E38/3</f>
        <v>11500</v>
      </c>
      <c r="J50" s="74">
        <f>$F38/3</f>
        <v>13500</v>
      </c>
      <c r="K50" s="74">
        <f>$F38/3</f>
        <v>13500</v>
      </c>
      <c r="L50" s="74">
        <f>$F38/3</f>
        <v>13500</v>
      </c>
      <c r="M50" s="74">
        <f>$G38/3</f>
        <v>14500</v>
      </c>
      <c r="N50" s="74">
        <f>$G38/3</f>
        <v>14500</v>
      </c>
      <c r="O50" s="74">
        <f>$G38/3</f>
        <v>14500</v>
      </c>
      <c r="P50" s="75"/>
      <c r="Q50" s="75"/>
      <c r="R50" s="76"/>
    </row>
    <row r="51" spans="1:22" s="77" customFormat="1" ht="12.75" customHeight="1" x14ac:dyDescent="0.2">
      <c r="A51" s="72"/>
      <c r="B51" s="73" t="s">
        <v>47</v>
      </c>
      <c r="C51" s="74">
        <f t="array" aca="1" ref="C51" ca="1">SUMPRODUCT((D$48:O$48&lt;=EDATE(TODAY(),-1))*(D51:O51))</f>
        <v>0</v>
      </c>
      <c r="D51" s="78"/>
      <c r="E51" s="78"/>
      <c r="F51" s="78"/>
      <c r="G51" s="78"/>
      <c r="H51" s="78"/>
      <c r="I51" s="78"/>
      <c r="J51" s="78"/>
      <c r="K51" s="78"/>
      <c r="L51" s="78"/>
      <c r="M51" s="78"/>
      <c r="N51" s="78"/>
      <c r="O51" s="78"/>
      <c r="P51" s="75"/>
      <c r="Q51" s="75"/>
      <c r="R51" s="76"/>
    </row>
    <row r="52" spans="1:22" ht="15.75" customHeight="1" x14ac:dyDescent="0.2">
      <c r="B52" s="79" t="s">
        <v>48</v>
      </c>
      <c r="C52" s="71" t="str">
        <f t="array" aca="1" ref="C52" ca="1">IF(MONTH(TODAY())=1,$D52,_xlfn.LET(_xlpm.dates,$D$48:$O$48,_xlpm.values,$D52:$O52,_xlpm.matchCol,_xlfn.XMATCH(MONTH(TODAY()),MONTH(_xlpm.dates),0,1),_xlpm.val,INDEX(_xlpm.values,_xlpm.matchCol),_xlpm.result,IF(_xlpm.val&lt;&gt;"",_xlpm.val,INDEX(_xlpm.values,_xlpm.matchCol-1)),IF(_xlpm.result&lt;&gt;"",_xlpm.result,"Behind")))</f>
        <v>Behind</v>
      </c>
      <c r="D52" s="80"/>
      <c r="E52" s="80"/>
      <c r="F52" s="80"/>
      <c r="G52" s="80"/>
      <c r="H52" s="80"/>
      <c r="I52" s="80"/>
      <c r="J52" s="80"/>
      <c r="K52" s="80"/>
      <c r="L52" s="80"/>
      <c r="M52" s="80"/>
      <c r="N52" s="80"/>
      <c r="O52" s="80"/>
      <c r="P52" s="289"/>
      <c r="Q52" s="290"/>
      <c r="R52" s="291"/>
    </row>
    <row r="53" spans="1:22" ht="15.75" customHeight="1" x14ac:dyDescent="0.2">
      <c r="B53" s="79" t="s">
        <v>49</v>
      </c>
      <c r="C53" s="71" t="str">
        <f t="array" aca="1" ref="C53" ca="1">IF(MONTH(TODAY())=1,$D53,_xlfn.LET(_xlpm.dates,$D$48:$O$48,_xlpm.values,$D53:$O53,_xlpm.matchCol,_xlfn.XMATCH(MONTH(TODAY()),MONTH(_xlpm.dates),0,1),_xlpm.val,INDEX(_xlpm.values,_xlpm.matchCol),_xlpm.result,IF(_xlpm.val&lt;&gt;"",_xlpm.val,INDEX(_xlpm.values,_xlpm.matchCol-1)),IF(_xlpm.result&lt;&gt;"",_xlpm.result,"Behind")))</f>
        <v>Behind</v>
      </c>
      <c r="D53" s="80"/>
      <c r="E53" s="80"/>
      <c r="F53" s="80"/>
      <c r="G53" s="80"/>
      <c r="H53" s="80"/>
      <c r="I53" s="80"/>
      <c r="J53" s="80"/>
      <c r="K53" s="80"/>
      <c r="L53" s="80"/>
      <c r="M53" s="80"/>
      <c r="N53" s="80"/>
      <c r="O53" s="80"/>
      <c r="P53" s="289"/>
      <c r="Q53" s="290"/>
      <c r="R53" s="291"/>
    </row>
    <row r="54" spans="1:22" ht="15.75" customHeight="1" x14ac:dyDescent="0.2">
      <c r="B54" s="79" t="s">
        <v>50</v>
      </c>
      <c r="C54" s="71" t="str">
        <f t="array" aca="1" ref="C54" ca="1">IF(MONTH(TODAY())=1,$D54,_xlfn.LET(_xlpm.dates,$D$48:$O$48,_xlpm.values,$D54:$O54,_xlpm.matchCol,_xlfn.XMATCH(MONTH(TODAY()),MONTH(_xlpm.dates),0,1),_xlpm.val,INDEX(_xlpm.values,_xlpm.matchCol),_xlpm.result,IF(_xlpm.val&lt;&gt;"",_xlpm.val,INDEX(_xlpm.values,_xlpm.matchCol-1)),IF(_xlpm.result&lt;&gt;"",_xlpm.result,"Behind")))</f>
        <v>Behind</v>
      </c>
      <c r="D54" s="80"/>
      <c r="E54" s="80"/>
      <c r="F54" s="80"/>
      <c r="G54" s="80"/>
      <c r="H54" s="80"/>
      <c r="I54" s="80"/>
      <c r="J54" s="80"/>
      <c r="K54" s="80"/>
      <c r="L54" s="80"/>
      <c r="M54" s="80"/>
      <c r="N54" s="80"/>
      <c r="O54" s="80"/>
      <c r="P54" s="289"/>
      <c r="Q54" s="290"/>
      <c r="R54" s="291"/>
    </row>
    <row r="55" spans="1:22" ht="15.75" customHeight="1" x14ac:dyDescent="0.2">
      <c r="A55" s="44" t="s">
        <v>29</v>
      </c>
      <c r="B55" s="23" t="s">
        <v>51</v>
      </c>
      <c r="C55" s="71" t="str">
        <f t="shared" ref="C55:O55" ca="1" si="3">IF(ISBLANK(C58),"",IF(C58&gt;=C57,"On Track",IF(C58/C57&gt;=0.51,"Lagging","Behind")))</f>
        <v>Behind</v>
      </c>
      <c r="D55" s="71" t="str">
        <f t="shared" si="3"/>
        <v/>
      </c>
      <c r="E55" s="71" t="str">
        <f t="shared" si="3"/>
        <v/>
      </c>
      <c r="F55" s="71" t="str">
        <f t="shared" si="3"/>
        <v/>
      </c>
      <c r="G55" s="71" t="str">
        <f t="shared" si="3"/>
        <v/>
      </c>
      <c r="H55" s="71" t="str">
        <f t="shared" si="3"/>
        <v/>
      </c>
      <c r="I55" s="71" t="str">
        <f t="shared" si="3"/>
        <v/>
      </c>
      <c r="J55" s="71" t="str">
        <f t="shared" si="3"/>
        <v/>
      </c>
      <c r="K55" s="71" t="str">
        <f t="shared" si="3"/>
        <v/>
      </c>
      <c r="L55" s="71" t="str">
        <f t="shared" si="3"/>
        <v/>
      </c>
      <c r="M55" s="71" t="str">
        <f t="shared" si="3"/>
        <v/>
      </c>
      <c r="N55" s="71" t="str">
        <f t="shared" si="3"/>
        <v/>
      </c>
      <c r="O55" s="71" t="str">
        <f t="shared" si="3"/>
        <v/>
      </c>
      <c r="P55" s="289"/>
      <c r="Q55" s="290"/>
      <c r="R55" s="291"/>
    </row>
    <row r="56" spans="1:22" s="54" customFormat="1" ht="15.75" customHeight="1" x14ac:dyDescent="0.2">
      <c r="A56" s="81"/>
      <c r="B56" s="82" t="s">
        <v>52</v>
      </c>
      <c r="C56" s="83">
        <f ca="1">IFERROR(C58/C51,0)</f>
        <v>0</v>
      </c>
      <c r="D56" s="83"/>
      <c r="E56" s="83"/>
      <c r="F56" s="83"/>
      <c r="G56" s="83"/>
      <c r="H56" s="83"/>
      <c r="I56" s="83"/>
      <c r="J56" s="83"/>
      <c r="K56" s="83"/>
      <c r="L56" s="83"/>
      <c r="M56" s="83"/>
      <c r="N56" s="83"/>
      <c r="O56" s="83"/>
      <c r="P56" s="84"/>
      <c r="Q56" s="84"/>
      <c r="R56" s="85"/>
    </row>
    <row r="57" spans="1:22" s="77" customFormat="1" ht="12.75" customHeight="1" x14ac:dyDescent="0.2">
      <c r="A57" s="72"/>
      <c r="B57" s="73" t="s">
        <v>53</v>
      </c>
      <c r="C57" s="74">
        <f t="array" aca="1" ref="C57" ca="1">SUMPRODUCT((D$48:O$48&lt;=EDATE(TODAY(),-1))*(D57:O57))</f>
        <v>7980</v>
      </c>
      <c r="D57" s="74">
        <f>$D40/3</f>
        <v>3990</v>
      </c>
      <c r="E57" s="74">
        <f>$D40/3</f>
        <v>3990</v>
      </c>
      <c r="F57" s="74">
        <f>$D40/3</f>
        <v>3990</v>
      </c>
      <c r="G57" s="74">
        <f>($E39*$E38)/3</f>
        <v>4370</v>
      </c>
      <c r="H57" s="74">
        <f>($E39*$E38)/3</f>
        <v>4370</v>
      </c>
      <c r="I57" s="74">
        <f>($E39*$E38)/3</f>
        <v>4370</v>
      </c>
      <c r="J57" s="74">
        <f>($F39*$F38)/3</f>
        <v>5130</v>
      </c>
      <c r="K57" s="74">
        <f>($F39*$F38)/3</f>
        <v>5130</v>
      </c>
      <c r="L57" s="74">
        <f>($F39*$F38)/3</f>
        <v>5130</v>
      </c>
      <c r="M57" s="74">
        <f>($G39*$G38)/3</f>
        <v>5510</v>
      </c>
      <c r="N57" s="74">
        <f>($G39*$G38)/3</f>
        <v>5510</v>
      </c>
      <c r="O57" s="74">
        <f>($G39*$G38)/3</f>
        <v>5510</v>
      </c>
      <c r="P57" s="75"/>
      <c r="Q57" s="75"/>
      <c r="R57" s="76"/>
    </row>
    <row r="58" spans="1:22" s="77" customFormat="1" ht="12.75" customHeight="1" x14ac:dyDescent="0.2">
      <c r="A58" s="72"/>
      <c r="B58" s="73" t="s">
        <v>54</v>
      </c>
      <c r="C58" s="74">
        <f t="array" aca="1" ref="C58" ca="1">SUMPRODUCT((D$48:O$48&lt;=EDATE(TODAY(),-1))*(D58:O58))</f>
        <v>0</v>
      </c>
      <c r="D58" s="78"/>
      <c r="E58" s="78"/>
      <c r="F58" s="78"/>
      <c r="G58" s="78"/>
      <c r="H58" s="78"/>
      <c r="I58" s="78"/>
      <c r="J58" s="78"/>
      <c r="K58" s="78"/>
      <c r="L58" s="78"/>
      <c r="M58" s="78"/>
      <c r="N58" s="78"/>
      <c r="O58" s="78"/>
      <c r="P58" s="75"/>
      <c r="Q58" s="75"/>
      <c r="R58" s="76"/>
    </row>
    <row r="59" spans="1:22" ht="15.75" customHeight="1" x14ac:dyDescent="0.2">
      <c r="B59" s="79" t="s">
        <v>55</v>
      </c>
      <c r="C59" s="71" t="str">
        <f t="array" aca="1" ref="C59" ca="1">IF(MONTH(TODAY())=1,$D59,_xlfn.LET(_xlpm.dates,$D$48:$O$48,_xlpm.values,$D59:$O59,_xlpm.matchCol,_xlfn.XMATCH(MONTH(TODAY()),MONTH(_xlpm.dates),0,1),_xlpm.val,INDEX(_xlpm.values,_xlpm.matchCol),_xlpm.result,IF(_xlpm.val&lt;&gt;"",_xlpm.val,INDEX(_xlpm.values,_xlpm.matchCol-1)),IF(_xlpm.result&lt;&gt;"",_xlpm.result,"Behind")))</f>
        <v>Behind</v>
      </c>
      <c r="D59" s="80"/>
      <c r="E59" s="80"/>
      <c r="F59" s="80"/>
      <c r="G59" s="80"/>
      <c r="H59" s="80"/>
      <c r="I59" s="80"/>
      <c r="J59" s="80"/>
      <c r="K59" s="80"/>
      <c r="L59" s="80"/>
      <c r="M59" s="80"/>
      <c r="N59" s="80"/>
      <c r="O59" s="80"/>
      <c r="P59" s="289"/>
      <c r="Q59" s="290"/>
      <c r="R59" s="291"/>
    </row>
    <row r="60" spans="1:22" ht="15.75" customHeight="1" x14ac:dyDescent="0.2">
      <c r="B60" s="79" t="s">
        <v>56</v>
      </c>
      <c r="C60" s="71" t="str">
        <f t="array" aca="1" ref="C60" ca="1">IF(MONTH(TODAY())=1,$D60,_xlfn.LET(_xlpm.dates,$D$48:$O$48,_xlpm.values,$D60:$O60,_xlpm.matchCol,_xlfn.XMATCH(MONTH(TODAY()),MONTH(_xlpm.dates),0,1),_xlpm.val,INDEX(_xlpm.values,_xlpm.matchCol),_xlpm.result,IF(_xlpm.val&lt;&gt;"",_xlpm.val,INDEX(_xlpm.values,_xlpm.matchCol-1)),IF(_xlpm.result&lt;&gt;"",_xlpm.result,"Behind")))</f>
        <v>Behind</v>
      </c>
      <c r="D60" s="80"/>
      <c r="E60" s="80"/>
      <c r="F60" s="80"/>
      <c r="G60" s="80"/>
      <c r="H60" s="80"/>
      <c r="I60" s="80"/>
      <c r="J60" s="80"/>
      <c r="K60" s="80"/>
      <c r="L60" s="80"/>
      <c r="M60" s="80"/>
      <c r="N60" s="80"/>
      <c r="O60" s="80"/>
      <c r="P60" s="289"/>
      <c r="Q60" s="290"/>
      <c r="R60" s="291"/>
    </row>
    <row r="61" spans="1:22" ht="15.75" customHeight="1" x14ac:dyDescent="0.2">
      <c r="B61" s="79" t="s">
        <v>57</v>
      </c>
      <c r="C61" s="71" t="str">
        <f t="array" aca="1" ref="C61" ca="1">IF(MONTH(TODAY())=1,$D61,_xlfn.LET(_xlpm.dates,$D$48:$O$48,_xlpm.values,$D61:$O61,_xlpm.matchCol,_xlfn.XMATCH(MONTH(TODAY()),MONTH(_xlpm.dates),0,1),_xlpm.val,INDEX(_xlpm.values,_xlpm.matchCol),_xlpm.result,IF(_xlpm.val&lt;&gt;"",_xlpm.val,INDEX(_xlpm.values,_xlpm.matchCol-1)),IF(_xlpm.result&lt;&gt;"",_xlpm.result,"Behind")))</f>
        <v>Behind</v>
      </c>
      <c r="D61" s="80"/>
      <c r="E61" s="80"/>
      <c r="F61" s="80"/>
      <c r="G61" s="80"/>
      <c r="H61" s="80"/>
      <c r="I61" s="80"/>
      <c r="J61" s="80"/>
      <c r="K61" s="80"/>
      <c r="L61" s="80"/>
      <c r="M61" s="80"/>
      <c r="N61" s="80"/>
      <c r="O61" s="80"/>
      <c r="P61" s="289"/>
      <c r="Q61" s="290"/>
      <c r="R61" s="291"/>
    </row>
    <row r="62" spans="1:22" ht="15.75" customHeight="1" x14ac:dyDescent="0.2">
      <c r="A62" s="1" t="s">
        <v>43</v>
      </c>
      <c r="B62" s="86" t="s">
        <v>58</v>
      </c>
      <c r="C62" s="71" t="str">
        <f t="array" aca="1" ref="C62" ca="1">IF(MONTH(TODAY())=1,$D62,_xlfn.LET(_xlpm.dates,$D$48:$O$48,_xlpm.values,$D62:$O62,_xlpm.matchCol,_xlfn.XMATCH(MONTH(TODAY()),MONTH(_xlpm.dates),0,1),_xlpm.val,INDEX(_xlpm.values,_xlpm.matchCol),_xlpm.result,IF(_xlpm.val&lt;&gt;"",_xlpm.val,INDEX(_xlpm.values,_xlpm.matchCol-1)),IF(_xlpm.result&lt;&gt;"",_xlpm.result,"Behind")))</f>
        <v>Behind</v>
      </c>
      <c r="D62" s="80"/>
      <c r="E62" s="80"/>
      <c r="F62" s="80"/>
      <c r="G62" s="80"/>
      <c r="H62" s="80"/>
      <c r="I62" s="80"/>
      <c r="J62" s="80"/>
      <c r="K62" s="80"/>
      <c r="L62" s="80"/>
      <c r="M62" s="80"/>
      <c r="N62" s="80"/>
      <c r="O62" s="80"/>
      <c r="P62" s="289"/>
      <c r="Q62" s="290"/>
      <c r="R62" s="291"/>
    </row>
    <row r="63" spans="1:22" ht="15.75" customHeight="1" x14ac:dyDescent="0.2">
      <c r="B63" s="79" t="s">
        <v>59</v>
      </c>
      <c r="C63" s="71" t="str">
        <f t="array" aca="1" ref="C63" ca="1">IF(MONTH(TODAY())=1,$D63,_xlfn.LET(_xlpm.dates,$D$48:$O$48,_xlpm.values,$D63:$O63,_xlpm.matchCol,_xlfn.XMATCH(MONTH(TODAY()),MONTH(_xlpm.dates),0,1),_xlpm.val,INDEX(_xlpm.values,_xlpm.matchCol),_xlpm.result,IF(_xlpm.val&lt;&gt;"",_xlpm.val,INDEX(_xlpm.values,_xlpm.matchCol-1)),IF(_xlpm.result&lt;&gt;"",_xlpm.result,"Behind")))</f>
        <v>Behind</v>
      </c>
      <c r="D63" s="80"/>
      <c r="E63" s="80"/>
      <c r="F63" s="80"/>
      <c r="G63" s="80"/>
      <c r="H63" s="80"/>
      <c r="I63" s="80"/>
      <c r="J63" s="80"/>
      <c r="K63" s="80"/>
      <c r="L63" s="80"/>
      <c r="M63" s="80"/>
      <c r="N63" s="80"/>
      <c r="O63" s="80"/>
      <c r="P63" s="289"/>
      <c r="Q63" s="290"/>
      <c r="R63" s="291"/>
    </row>
    <row r="64" spans="1:22" ht="15.75" customHeight="1" x14ac:dyDescent="0.2">
      <c r="B64" s="79" t="s">
        <v>60</v>
      </c>
      <c r="C64" s="71" t="str">
        <f t="array" aca="1" ref="C64" ca="1">IF(MONTH(TODAY())=1,$D64,_xlfn.LET(_xlpm.dates,$D$48:$O$48,_xlpm.values,$D64:$O64,_xlpm.matchCol,_xlfn.XMATCH(MONTH(TODAY()),MONTH(_xlpm.dates),0,1),_xlpm.val,INDEX(_xlpm.values,_xlpm.matchCol),_xlpm.result,IF(_xlpm.val&lt;&gt;"",_xlpm.val,INDEX(_xlpm.values,_xlpm.matchCol-1)),IF(_xlpm.result&lt;&gt;"",_xlpm.result,"Behind")))</f>
        <v>Behind</v>
      </c>
      <c r="D64" s="80"/>
      <c r="E64" s="80"/>
      <c r="F64" s="80"/>
      <c r="G64" s="80"/>
      <c r="H64" s="80"/>
      <c r="I64" s="80"/>
      <c r="J64" s="80"/>
      <c r="K64" s="80"/>
      <c r="L64" s="80"/>
      <c r="M64" s="80"/>
      <c r="N64" s="80"/>
      <c r="O64" s="80"/>
      <c r="P64" s="289"/>
      <c r="Q64" s="290"/>
      <c r="R64" s="291"/>
      <c r="T64" s="305"/>
      <c r="U64" s="290"/>
      <c r="V64" s="290"/>
    </row>
    <row r="65" spans="1:18" ht="15.75" customHeight="1" x14ac:dyDescent="0.2">
      <c r="B65" s="79" t="s">
        <v>61</v>
      </c>
      <c r="C65" s="71" t="str">
        <f t="array" aca="1" ref="C65" ca="1">IF(MONTH(TODAY())=1,$D65,_xlfn.LET(_xlpm.dates,$D$48:$O$48,_xlpm.values,$D65:$O65,_xlpm.matchCol,_xlfn.XMATCH(MONTH(TODAY()),MONTH(_xlpm.dates),0,1),_xlpm.val,INDEX(_xlpm.values,_xlpm.matchCol),_xlpm.result,IF(_xlpm.val&lt;&gt;"",_xlpm.val,INDEX(_xlpm.values,_xlpm.matchCol-1)),IF(_xlpm.result&lt;&gt;"",_xlpm.result,"Behind")))</f>
        <v>Behind</v>
      </c>
      <c r="D65" s="80"/>
      <c r="E65" s="80"/>
      <c r="F65" s="80"/>
      <c r="G65" s="80"/>
      <c r="H65" s="80"/>
      <c r="I65" s="80"/>
      <c r="J65" s="80"/>
      <c r="K65" s="80"/>
      <c r="L65" s="80"/>
      <c r="M65" s="80"/>
      <c r="N65" s="80"/>
      <c r="O65" s="80"/>
      <c r="P65" s="289"/>
      <c r="Q65" s="290"/>
      <c r="R65" s="291"/>
    </row>
    <row r="66" spans="1:18" ht="15.75" customHeight="1" x14ac:dyDescent="0.2">
      <c r="A66" s="1" t="s">
        <v>43</v>
      </c>
      <c r="B66" s="86" t="s">
        <v>62</v>
      </c>
      <c r="C66" s="71" t="str">
        <f t="array" aca="1" ref="C66" ca="1">IF(MONTH(TODAY())=1,$D66,_xlfn.LET(_xlpm.dates,$D$48:$O$48,_xlpm.values,$D66:$O66,_xlpm.matchCol,_xlfn.XMATCH(MONTH(TODAY()),MONTH(_xlpm.dates),0,1),_xlpm.val,INDEX(_xlpm.values,_xlpm.matchCol),_xlpm.result,IF(_xlpm.val&lt;&gt;"",_xlpm.val,INDEX(_xlpm.values,_xlpm.matchCol-1)),IF(_xlpm.result&lt;&gt;"",_xlpm.result,"Behind")))</f>
        <v>Behind</v>
      </c>
      <c r="D66" s="80"/>
      <c r="E66" s="80"/>
      <c r="F66" s="80"/>
      <c r="G66" s="80"/>
      <c r="H66" s="80"/>
      <c r="I66" s="80"/>
      <c r="J66" s="80"/>
      <c r="K66" s="80"/>
      <c r="L66" s="80"/>
      <c r="M66" s="80"/>
      <c r="N66" s="80"/>
      <c r="O66" s="80"/>
      <c r="P66" s="289"/>
      <c r="Q66" s="290"/>
      <c r="R66" s="291"/>
    </row>
    <row r="67" spans="1:18" ht="15.75" customHeight="1" x14ac:dyDescent="0.2">
      <c r="B67" s="79" t="s">
        <v>63</v>
      </c>
      <c r="C67" s="71" t="str">
        <f t="array" aca="1" ref="C67" ca="1">IF(MONTH(TODAY())=1,$D67,_xlfn.LET(_xlpm.dates,$D$48:$O$48,_xlpm.values,$D67:$O67,_xlpm.matchCol,_xlfn.XMATCH(MONTH(TODAY()),MONTH(_xlpm.dates),0,1),_xlpm.val,INDEX(_xlpm.values,_xlpm.matchCol),_xlpm.result,IF(_xlpm.val&lt;&gt;"",_xlpm.val,INDEX(_xlpm.values,_xlpm.matchCol-1)),IF(_xlpm.result&lt;&gt;"",_xlpm.result,"Behind")))</f>
        <v>Behind</v>
      </c>
      <c r="D67" s="80"/>
      <c r="E67" s="80"/>
      <c r="F67" s="80"/>
      <c r="G67" s="80"/>
      <c r="H67" s="80"/>
      <c r="I67" s="80"/>
      <c r="J67" s="80"/>
      <c r="K67" s="80"/>
      <c r="L67" s="80"/>
      <c r="M67" s="80"/>
      <c r="N67" s="80"/>
      <c r="O67" s="80"/>
      <c r="P67" s="289"/>
      <c r="Q67" s="290"/>
      <c r="R67" s="291"/>
    </row>
    <row r="68" spans="1:18" ht="15.75" customHeight="1" x14ac:dyDescent="0.2">
      <c r="B68" s="79" t="s">
        <v>64</v>
      </c>
      <c r="C68" s="71" t="str">
        <f t="array" aca="1" ref="C68" ca="1">IF(MONTH(TODAY())=1,$D68,_xlfn.LET(_xlpm.dates,$D$48:$O$48,_xlpm.values,$D68:$O68,_xlpm.matchCol,_xlfn.XMATCH(MONTH(TODAY()),MONTH(_xlpm.dates),0,1),_xlpm.val,INDEX(_xlpm.values,_xlpm.matchCol),_xlpm.result,IF(_xlpm.val&lt;&gt;"",_xlpm.val,INDEX(_xlpm.values,_xlpm.matchCol-1)),IF(_xlpm.result&lt;&gt;"",_xlpm.result,"Behind")))</f>
        <v>Behind</v>
      </c>
      <c r="D68" s="80"/>
      <c r="E68" s="80"/>
      <c r="F68" s="80"/>
      <c r="G68" s="80"/>
      <c r="H68" s="80"/>
      <c r="I68" s="80"/>
      <c r="J68" s="80"/>
      <c r="K68" s="80"/>
      <c r="L68" s="80"/>
      <c r="M68" s="80"/>
      <c r="N68" s="80"/>
      <c r="O68" s="80"/>
      <c r="P68" s="289"/>
      <c r="Q68" s="290"/>
      <c r="R68" s="291"/>
    </row>
    <row r="69" spans="1:18" ht="15.75" customHeight="1" x14ac:dyDescent="0.2">
      <c r="B69" s="87" t="s">
        <v>65</v>
      </c>
      <c r="C69" s="88" t="str">
        <f t="array" aca="1" ref="C69" ca="1">IF(MONTH(TODAY())=1,$D69,_xlfn.LET(_xlpm.dates,$D$48:$O$48,_xlpm.values,$D69:$O69,_xlpm.matchCol,_xlfn.XMATCH(MONTH(TODAY()),MONTH(_xlpm.dates),0,1),_xlpm.val,INDEX(_xlpm.values,_xlpm.matchCol),_xlpm.result,IF(_xlpm.val&lt;&gt;"",_xlpm.val,INDEX(_xlpm.values,_xlpm.matchCol-1)),IF(_xlpm.result&lt;&gt;"",_xlpm.result,"Behind")))</f>
        <v>Behind</v>
      </c>
      <c r="D69" s="89"/>
      <c r="E69" s="89"/>
      <c r="F69" s="89"/>
      <c r="G69" s="89"/>
      <c r="H69" s="89"/>
      <c r="I69" s="89"/>
      <c r="J69" s="89"/>
      <c r="K69" s="89"/>
      <c r="L69" s="89"/>
      <c r="M69" s="89"/>
      <c r="N69" s="89"/>
      <c r="O69" s="89"/>
      <c r="P69" s="292"/>
      <c r="Q69" s="293"/>
      <c r="R69" s="294"/>
    </row>
    <row r="71" spans="1:18" ht="15.75" customHeight="1" x14ac:dyDescent="0.2">
      <c r="A71" s="1" t="s">
        <v>66</v>
      </c>
      <c r="B71" s="27" t="s">
        <v>67</v>
      </c>
      <c r="C71" s="14" t="s">
        <v>25</v>
      </c>
      <c r="D71" s="70">
        <v>46023</v>
      </c>
      <c r="E71" s="70">
        <f t="shared" ref="E71:O71" si="4">EDATE(D71,1)</f>
        <v>46054</v>
      </c>
      <c r="F71" s="70">
        <f t="shared" si="4"/>
        <v>46082</v>
      </c>
      <c r="G71" s="70">
        <f t="shared" si="4"/>
        <v>46113</v>
      </c>
      <c r="H71" s="70">
        <f t="shared" si="4"/>
        <v>46143</v>
      </c>
      <c r="I71" s="70">
        <f t="shared" si="4"/>
        <v>46174</v>
      </c>
      <c r="J71" s="70">
        <f t="shared" si="4"/>
        <v>46204</v>
      </c>
      <c r="K71" s="70">
        <f t="shared" si="4"/>
        <v>46235</v>
      </c>
      <c r="L71" s="70">
        <f t="shared" si="4"/>
        <v>46266</v>
      </c>
      <c r="M71" s="70">
        <f t="shared" si="4"/>
        <v>46296</v>
      </c>
      <c r="N71" s="70">
        <f t="shared" si="4"/>
        <v>46327</v>
      </c>
      <c r="O71" s="70">
        <f t="shared" si="4"/>
        <v>46357</v>
      </c>
      <c r="P71" s="302" t="s">
        <v>37</v>
      </c>
      <c r="Q71" s="303"/>
      <c r="R71" s="304"/>
    </row>
    <row r="72" spans="1:18" ht="15.75" customHeight="1" x14ac:dyDescent="0.2">
      <c r="B72" s="23" t="s">
        <v>68</v>
      </c>
      <c r="C72" s="80"/>
      <c r="D72" s="80"/>
      <c r="E72" s="80"/>
      <c r="F72" s="80"/>
      <c r="G72" s="80"/>
      <c r="H72" s="80"/>
      <c r="I72" s="80"/>
      <c r="J72" s="80"/>
      <c r="K72" s="80"/>
      <c r="L72" s="80"/>
      <c r="M72" s="80"/>
      <c r="N72" s="80"/>
      <c r="O72" s="80"/>
      <c r="P72" s="289" t="s">
        <v>69</v>
      </c>
      <c r="Q72" s="290"/>
      <c r="R72" s="291"/>
    </row>
    <row r="73" spans="1:18" ht="15.75" customHeight="1" x14ac:dyDescent="0.2">
      <c r="B73" s="23"/>
      <c r="C73" s="71"/>
      <c r="D73" s="71"/>
      <c r="E73" s="71"/>
      <c r="F73" s="71"/>
      <c r="G73" s="71"/>
      <c r="H73" s="71"/>
      <c r="I73" s="71"/>
      <c r="J73" s="71"/>
      <c r="K73" s="71"/>
      <c r="L73" s="71"/>
      <c r="M73" s="71"/>
      <c r="N73" s="71"/>
      <c r="O73" s="71"/>
      <c r="P73" s="90"/>
      <c r="Q73" s="90"/>
      <c r="R73" s="60"/>
    </row>
    <row r="74" spans="1:18" ht="15.75" customHeight="1" x14ac:dyDescent="0.2">
      <c r="B74" s="30" t="s">
        <v>70</v>
      </c>
      <c r="C74" s="71"/>
      <c r="D74" s="91"/>
      <c r="E74" s="91"/>
      <c r="F74" s="91"/>
      <c r="G74" s="91"/>
      <c r="H74" s="91"/>
      <c r="I74" s="91"/>
      <c r="J74" s="91"/>
      <c r="K74" s="91"/>
      <c r="L74" s="91"/>
      <c r="M74" s="91"/>
      <c r="N74" s="91"/>
      <c r="O74" s="91"/>
      <c r="P74" s="289" t="s">
        <v>71</v>
      </c>
      <c r="Q74" s="290"/>
      <c r="R74" s="291"/>
    </row>
    <row r="75" spans="1:18" ht="15.75" customHeight="1" x14ac:dyDescent="0.2">
      <c r="B75" s="30" t="s">
        <v>72</v>
      </c>
      <c r="C75" s="71"/>
      <c r="D75" s="91"/>
      <c r="E75" s="91"/>
      <c r="F75" s="91"/>
      <c r="G75" s="91"/>
      <c r="H75" s="91"/>
      <c r="I75" s="91"/>
      <c r="J75" s="91"/>
      <c r="K75" s="91"/>
      <c r="L75" s="91"/>
      <c r="M75" s="91"/>
      <c r="N75" s="91"/>
      <c r="O75" s="91"/>
      <c r="P75" s="289"/>
      <c r="Q75" s="290"/>
      <c r="R75" s="291"/>
    </row>
    <row r="76" spans="1:18" ht="15.75" customHeight="1" x14ac:dyDescent="0.2">
      <c r="B76" s="30" t="s">
        <v>73</v>
      </c>
      <c r="C76" s="71"/>
      <c r="D76" s="91"/>
      <c r="E76" s="91"/>
      <c r="F76" s="91"/>
      <c r="G76" s="91"/>
      <c r="H76" s="91"/>
      <c r="I76" s="91"/>
      <c r="J76" s="91"/>
      <c r="K76" s="91"/>
      <c r="L76" s="91"/>
      <c r="M76" s="91"/>
      <c r="N76" s="91"/>
      <c r="O76" s="91"/>
      <c r="P76" s="289"/>
      <c r="Q76" s="290"/>
      <c r="R76" s="291"/>
    </row>
    <row r="77" spans="1:18" ht="15.75" customHeight="1" x14ac:dyDescent="0.2">
      <c r="B77" s="30" t="s">
        <v>74</v>
      </c>
      <c r="C77" s="71"/>
      <c r="D77" s="91"/>
      <c r="E77" s="91"/>
      <c r="F77" s="91"/>
      <c r="G77" s="91"/>
      <c r="H77" s="91"/>
      <c r="I77" s="91"/>
      <c r="J77" s="91"/>
      <c r="K77" s="91"/>
      <c r="L77" s="91"/>
      <c r="M77" s="91"/>
      <c r="N77" s="91"/>
      <c r="O77" s="91"/>
      <c r="P77" s="289"/>
      <c r="Q77" s="290"/>
      <c r="R77" s="291"/>
    </row>
    <row r="78" spans="1:18" ht="15.75" customHeight="1" x14ac:dyDescent="0.2">
      <c r="B78" s="92" t="s">
        <v>75</v>
      </c>
      <c r="C78" s="93"/>
      <c r="D78" s="94"/>
      <c r="E78" s="94"/>
      <c r="F78" s="94"/>
      <c r="G78" s="94"/>
      <c r="H78" s="94"/>
      <c r="I78" s="94"/>
      <c r="J78" s="94"/>
      <c r="K78" s="94"/>
      <c r="L78" s="94"/>
      <c r="M78" s="94"/>
      <c r="N78" s="94"/>
      <c r="O78" s="94"/>
      <c r="P78" s="295" t="s">
        <v>76</v>
      </c>
      <c r="Q78" s="296"/>
      <c r="R78" s="297"/>
    </row>
    <row r="79" spans="1:18" ht="15.75" customHeight="1" x14ac:dyDescent="0.2">
      <c r="B79" s="23" t="s">
        <v>77</v>
      </c>
      <c r="C79" s="80"/>
      <c r="D79" s="80"/>
      <c r="E79" s="80"/>
      <c r="F79" s="80"/>
      <c r="G79" s="80"/>
      <c r="H79" s="80"/>
      <c r="I79" s="80"/>
      <c r="J79" s="80"/>
      <c r="K79" s="80"/>
      <c r="L79" s="80"/>
      <c r="M79" s="80"/>
      <c r="N79" s="80"/>
      <c r="O79" s="80"/>
      <c r="P79" s="286" t="s">
        <v>78</v>
      </c>
      <c r="Q79" s="287"/>
      <c r="R79" s="288"/>
    </row>
    <row r="80" spans="1:18" ht="15.75" customHeight="1" x14ac:dyDescent="0.2">
      <c r="B80" s="23"/>
      <c r="C80" s="71"/>
      <c r="D80" s="71"/>
      <c r="E80" s="71"/>
      <c r="F80" s="71"/>
      <c r="G80" s="71"/>
      <c r="H80" s="71"/>
      <c r="I80" s="71"/>
      <c r="J80" s="71"/>
      <c r="K80" s="71"/>
      <c r="L80" s="71"/>
      <c r="M80" s="71"/>
      <c r="N80" s="71"/>
      <c r="O80" s="71"/>
      <c r="P80" s="90"/>
      <c r="Q80" s="90"/>
      <c r="R80" s="60"/>
    </row>
    <row r="81" spans="2:18" ht="15.75" customHeight="1" x14ac:dyDescent="0.2">
      <c r="B81" s="30" t="s">
        <v>79</v>
      </c>
      <c r="C81" s="71"/>
      <c r="D81" s="91"/>
      <c r="E81" s="91"/>
      <c r="F81" s="91"/>
      <c r="G81" s="91"/>
      <c r="H81" s="91"/>
      <c r="I81" s="91"/>
      <c r="J81" s="91"/>
      <c r="K81" s="91"/>
      <c r="L81" s="91"/>
      <c r="M81" s="91"/>
      <c r="N81" s="91"/>
      <c r="O81" s="91"/>
      <c r="P81" s="289" t="s">
        <v>71</v>
      </c>
      <c r="Q81" s="290"/>
      <c r="R81" s="291"/>
    </row>
    <row r="82" spans="2:18" ht="15.75" customHeight="1" x14ac:dyDescent="0.2">
      <c r="B82" s="30" t="s">
        <v>80</v>
      </c>
      <c r="C82" s="71"/>
      <c r="D82" s="91"/>
      <c r="E82" s="91"/>
      <c r="F82" s="91"/>
      <c r="G82" s="91"/>
      <c r="H82" s="91"/>
      <c r="I82" s="91"/>
      <c r="J82" s="91"/>
      <c r="K82" s="91"/>
      <c r="L82" s="91"/>
      <c r="M82" s="91"/>
      <c r="N82" s="91"/>
      <c r="O82" s="91"/>
      <c r="P82" s="289"/>
      <c r="Q82" s="290"/>
      <c r="R82" s="291"/>
    </row>
    <row r="83" spans="2:18" ht="15.75" customHeight="1" x14ac:dyDescent="0.2">
      <c r="B83" s="92" t="s">
        <v>81</v>
      </c>
      <c r="C83" s="93"/>
      <c r="D83" s="94"/>
      <c r="E83" s="94"/>
      <c r="F83" s="94"/>
      <c r="G83" s="94"/>
      <c r="H83" s="94"/>
      <c r="I83" s="94"/>
      <c r="J83" s="94"/>
      <c r="K83" s="94"/>
      <c r="L83" s="94"/>
      <c r="M83" s="94"/>
      <c r="N83" s="94"/>
      <c r="O83" s="94"/>
      <c r="P83" s="295" t="s">
        <v>76</v>
      </c>
      <c r="Q83" s="296"/>
      <c r="R83" s="297"/>
    </row>
    <row r="84" spans="2:18" ht="15.75" customHeight="1" x14ac:dyDescent="0.2">
      <c r="B84" s="64" t="s">
        <v>82</v>
      </c>
      <c r="C84" s="80"/>
      <c r="D84" s="80"/>
      <c r="E84" s="80"/>
      <c r="F84" s="80"/>
      <c r="G84" s="80"/>
      <c r="H84" s="80"/>
      <c r="I84" s="80"/>
      <c r="J84" s="80"/>
      <c r="K84" s="80"/>
      <c r="L84" s="80"/>
      <c r="M84" s="80"/>
      <c r="N84" s="80"/>
      <c r="O84" s="80"/>
      <c r="P84" s="286" t="s">
        <v>83</v>
      </c>
      <c r="Q84" s="287"/>
      <c r="R84" s="288"/>
    </row>
    <row r="85" spans="2:18" ht="15.75" customHeight="1" x14ac:dyDescent="0.2">
      <c r="B85" s="95" t="s">
        <v>84</v>
      </c>
      <c r="C85" s="88"/>
      <c r="D85" s="96"/>
      <c r="E85" s="96"/>
      <c r="F85" s="96"/>
      <c r="G85" s="96"/>
      <c r="H85" s="96"/>
      <c r="I85" s="96"/>
      <c r="J85" s="96"/>
      <c r="K85" s="96"/>
      <c r="L85" s="96"/>
      <c r="M85" s="96"/>
      <c r="N85" s="96"/>
      <c r="O85" s="96"/>
      <c r="P85" s="66"/>
      <c r="Q85" s="66"/>
      <c r="R85" s="97"/>
    </row>
  </sheetData>
  <mergeCells count="45">
    <mergeCell ref="T64:V64"/>
    <mergeCell ref="P82:R82"/>
    <mergeCell ref="F7:J7"/>
    <mergeCell ref="I42:K42"/>
    <mergeCell ref="F12:J12"/>
    <mergeCell ref="P75:R75"/>
    <mergeCell ref="P66:R66"/>
    <mergeCell ref="I39:K39"/>
    <mergeCell ref="P53:R53"/>
    <mergeCell ref="P78:R78"/>
    <mergeCell ref="F8:J8"/>
    <mergeCell ref="I38:K38"/>
    <mergeCell ref="P79:R79"/>
    <mergeCell ref="P65:R65"/>
    <mergeCell ref="F10:J10"/>
    <mergeCell ref="I37:K37"/>
    <mergeCell ref="A1:D1"/>
    <mergeCell ref="P68:R68"/>
    <mergeCell ref="P71:R71"/>
    <mergeCell ref="P62:R62"/>
    <mergeCell ref="P74:R74"/>
    <mergeCell ref="P54:R54"/>
    <mergeCell ref="I40:K40"/>
    <mergeCell ref="P64:R64"/>
    <mergeCell ref="P67:R67"/>
    <mergeCell ref="P48:R48"/>
    <mergeCell ref="P61:R61"/>
    <mergeCell ref="I41:K41"/>
    <mergeCell ref="P52:R52"/>
    <mergeCell ref="P59:R59"/>
    <mergeCell ref="P49:R49"/>
    <mergeCell ref="F11:J11"/>
    <mergeCell ref="P55:R55"/>
    <mergeCell ref="F13:J13"/>
    <mergeCell ref="I1:J1"/>
    <mergeCell ref="F9:J9"/>
    <mergeCell ref="P76:R76"/>
    <mergeCell ref="P63:R63"/>
    <mergeCell ref="P84:R84"/>
    <mergeCell ref="P60:R60"/>
    <mergeCell ref="P69:R69"/>
    <mergeCell ref="P81:R81"/>
    <mergeCell ref="P72:R72"/>
    <mergeCell ref="P83:R83"/>
    <mergeCell ref="P77:R77"/>
  </mergeCells>
  <conditionalFormatting sqref="C9">
    <cfRule type="cellIs" dxfId="40" priority="22" operator="equal">
      <formula>"CONSTRAINED"</formula>
    </cfRule>
    <cfRule type="cellIs" dxfId="39" priority="30" operator="equal">
      <formula>"IDEAL"</formula>
    </cfRule>
    <cfRule type="cellIs" dxfId="38" priority="29" operator="equal">
      <formula>"CORE"</formula>
    </cfRule>
    <cfRule type="cellIs" dxfId="37" priority="28" operator="equal">
      <formula>"POISED"</formula>
    </cfRule>
    <cfRule type="cellIs" dxfId="36" priority="27" operator="equal">
      <formula>"SIGNIFICANT"</formula>
    </cfRule>
    <cfRule type="cellIs" dxfId="35" priority="26" operator="equal">
      <formula>"SOLID"</formula>
    </cfRule>
    <cfRule type="cellIs" dxfId="34" priority="25" operator="equal">
      <formula>"STEADY"</formula>
    </cfRule>
    <cfRule type="cellIs" dxfId="33" priority="24" operator="equal">
      <formula>"LIMITED"</formula>
    </cfRule>
    <cfRule type="cellIs" dxfId="32" priority="23" operator="equal">
      <formula>"CAPPED"</formula>
    </cfRule>
  </conditionalFormatting>
  <conditionalFormatting sqref="C18 D52:O54 C52:D57">
    <cfRule type="cellIs" dxfId="31" priority="42" operator="equal">
      <formula>"Complete"</formula>
    </cfRule>
    <cfRule type="cellIs" dxfId="30" priority="41" operator="equal">
      <formula>"On Track"</formula>
    </cfRule>
    <cfRule type="cellIs" dxfId="29" priority="40" operator="equal">
      <formula>"Lagging"</formula>
    </cfRule>
    <cfRule type="cellIs" dxfId="28" priority="39" operator="equal">
      <formula>"Behind"</formula>
    </cfRule>
  </conditionalFormatting>
  <conditionalFormatting sqref="C20:C32">
    <cfRule type="cellIs" dxfId="27" priority="9" operator="equal">
      <formula>"Complete"</formula>
    </cfRule>
    <cfRule type="cellIs" dxfId="26" priority="6" operator="equal">
      <formula>"Behind"</formula>
    </cfRule>
    <cfRule type="cellIs" dxfId="25" priority="7" operator="equal">
      <formula>"Lagging"</formula>
    </cfRule>
    <cfRule type="cellIs" dxfId="24" priority="8" operator="equal">
      <formula>"On Track"</formula>
    </cfRule>
  </conditionalFormatting>
  <conditionalFormatting sqref="C51">
    <cfRule type="cellIs" dxfId="23" priority="14" operator="equal">
      <formula>"Behind"</formula>
    </cfRule>
    <cfRule type="cellIs" dxfId="22" priority="15" operator="equal">
      <formula>"Lagging"</formula>
    </cfRule>
    <cfRule type="cellIs" dxfId="21" priority="16" operator="equal">
      <formula>"On Track"</formula>
    </cfRule>
    <cfRule type="cellIs" dxfId="20" priority="17" operator="equal">
      <formula>"Complete"</formula>
    </cfRule>
  </conditionalFormatting>
  <conditionalFormatting sqref="C58">
    <cfRule type="cellIs" dxfId="19" priority="12" operator="equal">
      <formula>"On Track"</formula>
    </cfRule>
    <cfRule type="cellIs" dxfId="18" priority="10" operator="equal">
      <formula>"Behind"</formula>
    </cfRule>
    <cfRule type="cellIs" dxfId="17" priority="11" operator="equal">
      <formula>"Lagging"</formula>
    </cfRule>
    <cfRule type="cellIs" dxfId="16" priority="13" operator="equal">
      <formula>"Complete"</formula>
    </cfRule>
  </conditionalFormatting>
  <conditionalFormatting sqref="C49:O50">
    <cfRule type="cellIs" dxfId="15" priority="35" operator="equal">
      <formula>"Behind"</formula>
    </cfRule>
    <cfRule type="cellIs" dxfId="14" priority="36" operator="equal">
      <formula>"Lagging"</formula>
    </cfRule>
    <cfRule type="cellIs" dxfId="13" priority="37" operator="equal">
      <formula>"On Track"</formula>
    </cfRule>
    <cfRule type="cellIs" dxfId="12" priority="38" operator="equal">
      <formula>"Complete"</formula>
    </cfRule>
  </conditionalFormatting>
  <conditionalFormatting sqref="C59:O69">
    <cfRule type="cellIs" dxfId="11" priority="21" operator="equal">
      <formula>"Complete"</formula>
    </cfRule>
    <cfRule type="cellIs" dxfId="10" priority="20" operator="equal">
      <formula>"On Track"</formula>
    </cfRule>
    <cfRule type="cellIs" dxfId="9" priority="19" operator="equal">
      <formula>"Lagging"</formula>
    </cfRule>
    <cfRule type="cellIs" dxfId="8" priority="18" operator="equal">
      <formula>"Behind"</formula>
    </cfRule>
  </conditionalFormatting>
  <conditionalFormatting sqref="C72:O85">
    <cfRule type="cellIs" dxfId="7" priority="5" operator="equal">
      <formula>"Complete"</formula>
    </cfRule>
    <cfRule type="cellIs" dxfId="6" priority="4" operator="equal">
      <formula>"On Track"</formula>
    </cfRule>
    <cfRule type="cellIs" dxfId="5" priority="3" operator="equal">
      <formula>"Lagging"</formula>
    </cfRule>
    <cfRule type="cellIs" dxfId="4" priority="2" operator="equal">
      <formula>"Behind"</formula>
    </cfRule>
  </conditionalFormatting>
  <conditionalFormatting sqref="E55:O57">
    <cfRule type="cellIs" dxfId="3" priority="31" operator="equal">
      <formula>"Behind"</formula>
    </cfRule>
    <cfRule type="cellIs" dxfId="2" priority="32" operator="equal">
      <formula>"Lagging"</formula>
    </cfRule>
    <cfRule type="cellIs" dxfId="1" priority="33" operator="equal">
      <formula>"On Track"</formula>
    </cfRule>
    <cfRule type="cellIs" dxfId="0" priority="34" operator="equal">
      <formula>"Complete"</formula>
    </cfRule>
  </conditionalFormatting>
  <dataValidations count="2">
    <dataValidation type="list" allowBlank="1" showInputMessage="1" showErrorMessage="1" sqref="C72:O72 C79:O79 C84:O84 D52:O54 D59:O69" xr:uid="{00000000-0002-0000-0000-000000000000}">
      <formula1>"Complete,On Track,Lagging,Behind"</formula1>
      <formula2>0</formula2>
    </dataValidation>
    <dataValidation showInputMessage="1" showErrorMessage="1" sqref="C49:O49 C55:O56" xr:uid="{00000000-0002-0000-0000-000001000000}">
      <formula1>0</formula1>
      <formula2>0</formula2>
    </dataValidation>
  </dataValidation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D973"/>
    <pageSetUpPr fitToPage="1"/>
  </sheetPr>
  <dimension ref="A1:Z148"/>
  <sheetViews>
    <sheetView tabSelected="1" zoomScale="120" zoomScaleNormal="120" workbookViewId="0">
      <pane ySplit="9" topLeftCell="A10" activePane="bottomLeft" state="frozen"/>
      <selection pane="bottomLeft" activeCell="B11" sqref="B11:J11"/>
    </sheetView>
  </sheetViews>
  <sheetFormatPr baseColWidth="10" defaultColWidth="8.5" defaultRowHeight="14.25" customHeight="1" x14ac:dyDescent="0.2"/>
  <cols>
    <col min="1" max="1" width="2.33203125" style="98" customWidth="1"/>
    <col min="2" max="2" width="18.33203125" customWidth="1"/>
    <col min="3" max="3" width="20.33203125" customWidth="1"/>
    <col min="4" max="7" width="18.33203125" customWidth="1"/>
    <col min="8" max="8" width="11.6640625" customWidth="1"/>
    <col min="9" max="9" width="21.6640625" customWidth="1"/>
    <col min="10" max="10" width="0.1640625" customWidth="1"/>
    <col min="11" max="11" width="2.5" style="99" customWidth="1"/>
  </cols>
  <sheetData>
    <row r="1" spans="1:26" s="102" customFormat="1" ht="32.25" customHeight="1" x14ac:dyDescent="0.2">
      <c r="A1" s="100" t="str">
        <f>'Account GTM (Plan) Kubota'!A1</f>
        <v>2026 ACCOUNT GO TO MARKET PLAN FOR:  Kubota Credit Corporation</v>
      </c>
      <c r="B1" s="100"/>
      <c r="C1" s="100"/>
      <c r="D1" s="100"/>
      <c r="E1" s="101"/>
      <c r="F1" s="101"/>
      <c r="G1" s="101"/>
      <c r="H1" s="101"/>
      <c r="I1" s="311" t="s">
        <v>85</v>
      </c>
      <c r="J1" s="312"/>
    </row>
    <row r="2" spans="1:26" s="8" customFormat="1" ht="16.5" customHeight="1" x14ac:dyDescent="0.2">
      <c r="B2" s="9" t="s">
        <v>3</v>
      </c>
      <c r="C2" s="11" t="str">
        <f>'Account GTM (Plan) Kubota'!C3</f>
        <v>Dynamics 365 - Kafka POC Data Migration</v>
      </c>
      <c r="D2" s="7"/>
      <c r="E2" s="7"/>
      <c r="F2" s="4"/>
      <c r="G2" s="4"/>
      <c r="H2" s="4"/>
      <c r="I2" s="4"/>
      <c r="J2" s="4"/>
      <c r="K2" s="103"/>
      <c r="L2" s="103"/>
      <c r="M2" s="103"/>
      <c r="N2" s="103"/>
      <c r="O2" s="103"/>
      <c r="P2" s="103"/>
      <c r="Q2" s="103"/>
      <c r="R2" s="103"/>
      <c r="S2" s="103"/>
      <c r="T2" s="103"/>
      <c r="U2" s="103"/>
      <c r="V2" s="103"/>
      <c r="W2" s="103"/>
      <c r="X2" s="103"/>
      <c r="Y2" s="103"/>
      <c r="Z2" s="103"/>
    </row>
    <row r="3" spans="1:26" s="8" customFormat="1" ht="8.25" customHeight="1" x14ac:dyDescent="0.2">
      <c r="B3" s="9"/>
      <c r="C3" s="5"/>
      <c r="D3" s="7"/>
      <c r="E3" s="7"/>
      <c r="F3" s="4"/>
      <c r="G3" s="4"/>
      <c r="H3" s="4"/>
      <c r="I3" s="4"/>
      <c r="J3" s="4"/>
      <c r="K3" s="103"/>
      <c r="L3" s="103"/>
      <c r="M3" s="103"/>
      <c r="N3" s="103"/>
      <c r="O3" s="103"/>
      <c r="P3" s="103"/>
      <c r="Q3" s="103"/>
      <c r="R3" s="103"/>
      <c r="S3" s="103"/>
      <c r="T3" s="103"/>
      <c r="U3" s="103"/>
      <c r="V3" s="103"/>
      <c r="W3" s="103"/>
      <c r="X3" s="103"/>
      <c r="Y3" s="103"/>
      <c r="Z3" s="103"/>
    </row>
    <row r="4" spans="1:26" ht="25.5" customHeight="1" x14ac:dyDescent="0.2">
      <c r="B4" s="321" t="s">
        <v>86</v>
      </c>
      <c r="C4" s="322"/>
      <c r="D4" s="322"/>
      <c r="E4" s="322"/>
      <c r="F4" s="322"/>
      <c r="G4" s="322"/>
      <c r="H4" s="322"/>
      <c r="I4" s="322"/>
      <c r="J4" s="323"/>
    </row>
    <row r="5" spans="1:26" ht="14.25" customHeight="1" x14ac:dyDescent="0.2">
      <c r="B5" s="104" t="s">
        <v>87</v>
      </c>
      <c r="C5" s="105" t="s">
        <v>88</v>
      </c>
      <c r="D5" s="4"/>
      <c r="E5" s="106" t="s">
        <v>89</v>
      </c>
      <c r="F5" s="107" t="s">
        <v>90</v>
      </c>
      <c r="G5" s="4"/>
      <c r="H5" s="106" t="s">
        <v>91</v>
      </c>
      <c r="I5" s="108" t="s">
        <v>92</v>
      </c>
      <c r="J5" s="109"/>
    </row>
    <row r="6" spans="1:26" ht="14.25" customHeight="1" x14ac:dyDescent="0.2">
      <c r="B6" s="110" t="s">
        <v>93</v>
      </c>
      <c r="C6" s="105" t="s">
        <v>94</v>
      </c>
      <c r="D6" s="4"/>
      <c r="E6" s="106" t="s">
        <v>95</v>
      </c>
      <c r="F6" s="107" t="s">
        <v>96</v>
      </c>
      <c r="G6" s="4"/>
      <c r="H6" s="111" t="s">
        <v>97</v>
      </c>
      <c r="I6" s="112" t="s">
        <v>98</v>
      </c>
      <c r="J6" s="109"/>
    </row>
    <row r="7" spans="1:26" ht="14.25" customHeight="1" x14ac:dyDescent="0.2">
      <c r="B7" s="113" t="s">
        <v>99</v>
      </c>
      <c r="C7" s="105" t="s">
        <v>100</v>
      </c>
      <c r="D7" s="4"/>
      <c r="E7" s="111" t="s">
        <v>101</v>
      </c>
      <c r="F7" s="112"/>
      <c r="G7" s="4"/>
      <c r="H7" s="114" t="s">
        <v>102</v>
      </c>
      <c r="I7" s="107"/>
      <c r="J7" s="109"/>
    </row>
    <row r="8" spans="1:26" ht="14.25" customHeight="1" x14ac:dyDescent="0.2">
      <c r="B8" s="113" t="s">
        <v>103</v>
      </c>
      <c r="C8" s="107" t="s">
        <v>104</v>
      </c>
      <c r="D8" s="4"/>
      <c r="E8" s="115"/>
      <c r="F8" s="116"/>
      <c r="G8" s="4"/>
      <c r="H8" s="4"/>
      <c r="I8" s="4"/>
      <c r="J8" s="117"/>
    </row>
    <row r="9" spans="1:26" ht="10.5" customHeight="1" x14ac:dyDescent="0.2">
      <c r="B9" s="118"/>
      <c r="C9" s="119"/>
      <c r="D9" s="120"/>
      <c r="E9" s="120"/>
      <c r="F9" s="121"/>
      <c r="G9" s="98"/>
      <c r="H9" s="122"/>
      <c r="I9" s="119"/>
      <c r="J9" s="123"/>
    </row>
    <row r="10" spans="1:26" ht="25.5" customHeight="1" x14ac:dyDescent="0.2">
      <c r="B10" s="332" t="s">
        <v>105</v>
      </c>
      <c r="C10" s="327"/>
      <c r="D10" s="327"/>
      <c r="E10" s="327"/>
      <c r="F10" s="327"/>
      <c r="G10" s="327"/>
      <c r="H10" s="327"/>
      <c r="I10" s="327"/>
      <c r="J10" s="328"/>
    </row>
    <row r="11" spans="1:26" s="127" customFormat="1" ht="41" customHeight="1" x14ac:dyDescent="0.2">
      <c r="A11" s="124"/>
      <c r="B11" s="349" t="s">
        <v>106</v>
      </c>
      <c r="C11" s="293"/>
      <c r="D11" s="293"/>
      <c r="E11" s="293"/>
      <c r="F11" s="293"/>
      <c r="G11" s="293"/>
      <c r="H11" s="293"/>
      <c r="I11" s="293"/>
      <c r="J11" s="350"/>
      <c r="K11" s="125"/>
      <c r="L11" s="126"/>
    </row>
    <row r="12" spans="1:26" ht="25.5" customHeight="1" x14ac:dyDescent="0.2">
      <c r="B12" s="318" t="s">
        <v>107</v>
      </c>
      <c r="C12" s="319"/>
      <c r="D12" s="319"/>
      <c r="E12" s="319"/>
      <c r="F12" s="319"/>
      <c r="G12" s="319"/>
      <c r="H12" s="319"/>
      <c r="I12" s="319"/>
      <c r="J12" s="320"/>
      <c r="K12" s="125"/>
    </row>
    <row r="13" spans="1:26" ht="14.25" customHeight="1" x14ac:dyDescent="0.2">
      <c r="B13" s="128" t="s">
        <v>108</v>
      </c>
      <c r="C13" s="129"/>
      <c r="D13" s="130" t="s">
        <v>109</v>
      </c>
      <c r="E13" s="131" t="s">
        <v>110</v>
      </c>
      <c r="F13" s="132" t="s">
        <v>111</v>
      </c>
      <c r="G13" s="129" t="s">
        <v>112</v>
      </c>
      <c r="H13" s="130" t="s">
        <v>113</v>
      </c>
      <c r="I13" s="133"/>
      <c r="J13" s="134"/>
      <c r="K13" s="125"/>
    </row>
    <row r="14" spans="1:26" ht="20.25" customHeight="1" x14ac:dyDescent="0.2">
      <c r="B14" s="308" t="s">
        <v>114</v>
      </c>
      <c r="C14" s="310"/>
      <c r="D14" s="135" t="s">
        <v>115</v>
      </c>
      <c r="E14" s="136" t="s">
        <v>116</v>
      </c>
      <c r="F14" s="137" t="s">
        <v>117</v>
      </c>
      <c r="G14" t="s">
        <v>118</v>
      </c>
      <c r="H14" s="338" t="s">
        <v>119</v>
      </c>
      <c r="I14" s="327"/>
      <c r="J14" s="328"/>
      <c r="K14" s="125"/>
    </row>
    <row r="15" spans="1:26" ht="20.25" customHeight="1" x14ac:dyDescent="0.2">
      <c r="B15" s="308" t="s">
        <v>120</v>
      </c>
      <c r="C15" s="310"/>
      <c r="D15" s="135" t="s">
        <v>121</v>
      </c>
      <c r="E15" s="136" t="s">
        <v>122</v>
      </c>
      <c r="F15" s="137" t="s">
        <v>117</v>
      </c>
      <c r="G15" t="s">
        <v>123</v>
      </c>
      <c r="H15" s="338" t="s">
        <v>124</v>
      </c>
      <c r="I15" s="327"/>
      <c r="J15" s="328"/>
      <c r="K15" s="125"/>
    </row>
    <row r="16" spans="1:26" ht="20.25" customHeight="1" x14ac:dyDescent="0.2">
      <c r="B16" s="308" t="s">
        <v>125</v>
      </c>
      <c r="C16" s="310"/>
      <c r="D16" s="135" t="s">
        <v>121</v>
      </c>
      <c r="E16" s="136" t="s">
        <v>122</v>
      </c>
      <c r="F16" s="137" t="s">
        <v>126</v>
      </c>
      <c r="G16" t="s">
        <v>118</v>
      </c>
      <c r="H16" s="338" t="s">
        <v>127</v>
      </c>
      <c r="I16" s="327"/>
      <c r="J16" s="328"/>
      <c r="K16" s="125"/>
    </row>
    <row r="17" spans="2:11" ht="23.75" customHeight="1" x14ac:dyDescent="0.2">
      <c r="B17" s="308" t="s">
        <v>128</v>
      </c>
      <c r="C17" s="310"/>
      <c r="D17" s="135" t="s">
        <v>129</v>
      </c>
      <c r="E17" s="136" t="s">
        <v>130</v>
      </c>
      <c r="F17" s="137" t="s">
        <v>117</v>
      </c>
      <c r="G17" t="s">
        <v>131</v>
      </c>
      <c r="H17" s="338" t="s">
        <v>132</v>
      </c>
      <c r="I17" s="327"/>
      <c r="J17" s="328"/>
      <c r="K17" s="125"/>
    </row>
    <row r="18" spans="2:11" ht="14.25" customHeight="1" x14ac:dyDescent="0.2">
      <c r="B18" s="308"/>
      <c r="C18" s="310"/>
      <c r="D18" s="135"/>
      <c r="E18" s="136"/>
      <c r="F18" s="137"/>
      <c r="H18" s="338"/>
      <c r="I18" s="327"/>
      <c r="J18" s="328"/>
      <c r="K18" s="125"/>
    </row>
    <row r="19" spans="2:11" ht="14.25" customHeight="1" x14ac:dyDescent="0.2">
      <c r="B19" s="308"/>
      <c r="C19" s="310"/>
      <c r="D19" s="135"/>
      <c r="E19" s="136"/>
      <c r="F19" s="137"/>
      <c r="H19" s="338"/>
      <c r="I19" s="327"/>
      <c r="J19" s="328"/>
      <c r="K19" s="125"/>
    </row>
    <row r="20" spans="2:11" ht="14.25" customHeight="1" x14ac:dyDescent="0.2">
      <c r="B20" s="308"/>
      <c r="C20" s="310"/>
      <c r="D20" s="135"/>
      <c r="E20" s="136"/>
      <c r="F20" s="137"/>
      <c r="H20" s="338"/>
      <c r="I20" s="327"/>
      <c r="J20" s="328"/>
      <c r="K20" s="125"/>
    </row>
    <row r="21" spans="2:11" ht="14.25" customHeight="1" x14ac:dyDescent="0.2">
      <c r="B21" s="308"/>
      <c r="C21" s="310"/>
      <c r="D21" s="135"/>
      <c r="E21" s="136"/>
      <c r="F21" s="137"/>
      <c r="H21" s="338"/>
      <c r="I21" s="327"/>
      <c r="J21" s="328"/>
      <c r="K21" s="125"/>
    </row>
    <row r="22" spans="2:11" ht="14.25" customHeight="1" x14ac:dyDescent="0.2">
      <c r="B22" s="308"/>
      <c r="C22" s="310"/>
      <c r="D22" s="135"/>
      <c r="E22" s="136"/>
      <c r="F22" s="137"/>
      <c r="H22" s="338"/>
      <c r="I22" s="327"/>
      <c r="J22" s="328"/>
      <c r="K22" s="125"/>
    </row>
    <row r="23" spans="2:11" ht="14.25" customHeight="1" x14ac:dyDescent="0.2">
      <c r="B23" s="308"/>
      <c r="C23" s="310"/>
      <c r="D23" s="135"/>
      <c r="E23" s="136"/>
      <c r="F23" s="137"/>
      <c r="H23" s="338"/>
      <c r="I23" s="327"/>
      <c r="J23" s="328"/>
      <c r="K23" s="125"/>
    </row>
    <row r="24" spans="2:11" ht="14.25" customHeight="1" x14ac:dyDescent="0.2">
      <c r="B24" s="308"/>
      <c r="C24" s="310"/>
      <c r="D24" s="135"/>
      <c r="E24" s="136"/>
      <c r="F24" s="137"/>
      <c r="H24" s="338"/>
      <c r="I24" s="327"/>
      <c r="J24" s="328"/>
      <c r="K24" s="125"/>
    </row>
    <row r="25" spans="2:11" ht="25.5" customHeight="1" x14ac:dyDescent="0.2">
      <c r="B25" s="318" t="s">
        <v>134</v>
      </c>
      <c r="C25" s="319"/>
      <c r="D25" s="319"/>
      <c r="E25" s="319"/>
      <c r="F25" s="319"/>
      <c r="G25" s="319"/>
      <c r="H25" s="319"/>
      <c r="I25" s="319"/>
      <c r="J25" s="320"/>
      <c r="K25" s="125"/>
    </row>
    <row r="26" spans="2:11" ht="14.25" customHeight="1" x14ac:dyDescent="0.2">
      <c r="B26" s="138" t="s">
        <v>135</v>
      </c>
      <c r="C26" s="129"/>
      <c r="D26" s="139" t="s">
        <v>136</v>
      </c>
      <c r="E26" s="140"/>
      <c r="F26" s="140"/>
      <c r="G26" s="140"/>
      <c r="H26" s="141"/>
      <c r="I26" s="142"/>
      <c r="J26" s="143"/>
      <c r="K26" s="125"/>
    </row>
    <row r="27" spans="2:11" ht="14.25" customHeight="1" x14ac:dyDescent="0.2">
      <c r="B27" s="308" t="s">
        <v>137</v>
      </c>
      <c r="C27" s="310"/>
      <c r="D27" s="326" t="s">
        <v>138</v>
      </c>
      <c r="E27" s="327"/>
      <c r="F27" s="327"/>
      <c r="G27" s="327"/>
      <c r="H27" s="327"/>
      <c r="I27" s="327"/>
      <c r="J27" s="328"/>
      <c r="K27" s="125"/>
    </row>
    <row r="28" spans="2:11" ht="14.25" customHeight="1" x14ac:dyDescent="0.2">
      <c r="B28" s="308" t="s">
        <v>139</v>
      </c>
      <c r="C28" s="310"/>
      <c r="D28" s="326" t="s">
        <v>140</v>
      </c>
      <c r="E28" s="327"/>
      <c r="F28" s="327"/>
      <c r="G28" s="327"/>
      <c r="H28" s="327"/>
      <c r="I28" s="327"/>
      <c r="J28" s="328"/>
      <c r="K28" s="125"/>
    </row>
    <row r="29" spans="2:11" ht="14.25" customHeight="1" x14ac:dyDescent="0.2">
      <c r="B29" s="308"/>
      <c r="C29" s="310"/>
      <c r="D29" s="326"/>
      <c r="E29" s="327"/>
      <c r="F29" s="327"/>
      <c r="G29" s="327"/>
      <c r="H29" s="327"/>
      <c r="I29" s="327"/>
      <c r="J29" s="328"/>
      <c r="K29" s="125"/>
    </row>
    <row r="30" spans="2:11" ht="14.25" customHeight="1" x14ac:dyDescent="0.2">
      <c r="B30" s="308"/>
      <c r="C30" s="310"/>
      <c r="D30" s="326"/>
      <c r="E30" s="327"/>
      <c r="F30" s="327"/>
      <c r="G30" s="327"/>
      <c r="H30" s="327"/>
      <c r="I30" s="327"/>
      <c r="J30" s="328"/>
      <c r="K30" s="125"/>
    </row>
    <row r="31" spans="2:11" ht="14.25" customHeight="1" x14ac:dyDescent="0.2">
      <c r="B31" s="308"/>
      <c r="C31" s="310"/>
      <c r="D31" s="326"/>
      <c r="E31" s="327"/>
      <c r="F31" s="327"/>
      <c r="G31" s="327"/>
      <c r="H31" s="327"/>
      <c r="I31" s="327"/>
      <c r="J31" s="328"/>
      <c r="K31" s="125"/>
    </row>
    <row r="32" spans="2:11" ht="14.25" customHeight="1" x14ac:dyDescent="0.2">
      <c r="B32" s="308"/>
      <c r="C32" s="310"/>
      <c r="D32" s="326"/>
      <c r="E32" s="327"/>
      <c r="F32" s="327"/>
      <c r="G32" s="327"/>
      <c r="H32" s="327"/>
      <c r="I32" s="327"/>
      <c r="J32" s="328"/>
      <c r="K32" s="125"/>
    </row>
    <row r="33" spans="1:11" ht="14.25" customHeight="1" x14ac:dyDescent="0.2">
      <c r="B33" s="308"/>
      <c r="C33" s="310"/>
      <c r="D33" s="326"/>
      <c r="E33" s="327"/>
      <c r="F33" s="327"/>
      <c r="G33" s="327"/>
      <c r="H33" s="327"/>
      <c r="I33" s="327"/>
      <c r="J33" s="328"/>
      <c r="K33" s="125"/>
    </row>
    <row r="34" spans="1:11" ht="14.25" customHeight="1" x14ac:dyDescent="0.2">
      <c r="B34" s="340"/>
      <c r="C34" s="314"/>
      <c r="D34" s="333"/>
      <c r="E34" s="296"/>
      <c r="F34" s="296"/>
      <c r="G34" s="296"/>
      <c r="H34" s="296"/>
      <c r="I34" s="296"/>
      <c r="J34" s="334"/>
      <c r="K34" s="125"/>
    </row>
    <row r="35" spans="1:11" ht="25.5" customHeight="1" x14ac:dyDescent="0.2">
      <c r="B35" s="353" t="s">
        <v>141</v>
      </c>
      <c r="C35" s="287"/>
      <c r="D35" s="287"/>
      <c r="E35" s="287"/>
      <c r="F35" s="287"/>
      <c r="G35" s="287"/>
      <c r="H35" s="287"/>
      <c r="I35" s="287"/>
      <c r="J35" s="354"/>
      <c r="K35" s="125"/>
    </row>
    <row r="36" spans="1:11" s="152" customFormat="1" ht="14.25" customHeight="1" x14ac:dyDescent="0.2">
      <c r="A36" s="144"/>
      <c r="B36" s="145" t="s">
        <v>142</v>
      </c>
      <c r="C36" s="146" t="s">
        <v>143</v>
      </c>
      <c r="D36" s="147"/>
      <c r="E36" s="148" t="s">
        <v>144</v>
      </c>
      <c r="F36" s="148" t="s">
        <v>145</v>
      </c>
      <c r="G36" s="149" t="s">
        <v>146</v>
      </c>
      <c r="H36" s="150"/>
      <c r="I36" s="150"/>
      <c r="J36" s="151"/>
      <c r="K36" s="125"/>
    </row>
    <row r="37" spans="1:11" ht="30" customHeight="1" x14ac:dyDescent="0.2">
      <c r="B37" s="153" t="s">
        <v>147</v>
      </c>
      <c r="C37" s="317" t="s">
        <v>182</v>
      </c>
      <c r="D37" s="310"/>
      <c r="E37" s="154"/>
      <c r="F37" s="155"/>
      <c r="G37" s="326" t="s">
        <v>148</v>
      </c>
      <c r="H37" s="327"/>
      <c r="I37" s="327"/>
      <c r="J37" s="328"/>
      <c r="K37" s="125"/>
    </row>
    <row r="38" spans="1:11" ht="14.25" customHeight="1" x14ac:dyDescent="0.2">
      <c r="B38" s="156" t="s">
        <v>149</v>
      </c>
      <c r="C38" s="317" t="s">
        <v>150</v>
      </c>
      <c r="D38" s="310"/>
      <c r="E38" s="155"/>
      <c r="F38" s="155"/>
      <c r="G38" s="326" t="s">
        <v>151</v>
      </c>
      <c r="H38" s="327"/>
      <c r="I38" s="327"/>
      <c r="J38" s="328"/>
      <c r="K38" s="125"/>
    </row>
    <row r="39" spans="1:11" ht="14.25" customHeight="1" x14ac:dyDescent="0.2">
      <c r="B39" s="156" t="s">
        <v>152</v>
      </c>
      <c r="C39" s="317" t="s">
        <v>153</v>
      </c>
      <c r="D39" s="310"/>
      <c r="E39" s="155"/>
      <c r="F39" s="155"/>
      <c r="G39" s="326" t="s">
        <v>154</v>
      </c>
      <c r="H39" s="327"/>
      <c r="I39" s="327"/>
      <c r="J39" s="328"/>
      <c r="K39" s="125"/>
    </row>
    <row r="40" spans="1:11" ht="14.25" customHeight="1" x14ac:dyDescent="0.2">
      <c r="B40" s="156" t="s">
        <v>155</v>
      </c>
      <c r="C40" s="317" t="s">
        <v>156</v>
      </c>
      <c r="D40" s="310"/>
      <c r="E40" s="155"/>
      <c r="F40" s="155"/>
      <c r="G40" s="326" t="s">
        <v>157</v>
      </c>
      <c r="H40" s="327"/>
      <c r="I40" s="327"/>
      <c r="J40" s="328"/>
      <c r="K40" s="125"/>
    </row>
    <row r="41" spans="1:11" ht="14.25" customHeight="1" x14ac:dyDescent="0.2">
      <c r="B41" s="156" t="s">
        <v>158</v>
      </c>
      <c r="C41" s="317" t="s">
        <v>159</v>
      </c>
      <c r="D41" s="310"/>
      <c r="E41" s="155"/>
      <c r="F41" s="155"/>
      <c r="G41" s="326" t="s">
        <v>160</v>
      </c>
      <c r="H41" s="327"/>
      <c r="I41" s="327"/>
      <c r="J41" s="328"/>
      <c r="K41" s="125"/>
    </row>
    <row r="42" spans="1:11" ht="14.25" customHeight="1" x14ac:dyDescent="0.2">
      <c r="B42" s="153" t="s">
        <v>161</v>
      </c>
      <c r="C42" s="317" t="s">
        <v>569</v>
      </c>
      <c r="D42" s="310"/>
      <c r="E42" s="155"/>
      <c r="F42" s="155"/>
      <c r="G42" s="326" t="s">
        <v>162</v>
      </c>
      <c r="H42" s="327"/>
      <c r="I42" s="327"/>
      <c r="J42" s="328"/>
      <c r="K42" s="125"/>
    </row>
    <row r="43" spans="1:11" ht="24.75" customHeight="1" x14ac:dyDescent="0.2">
      <c r="B43" s="153" t="s">
        <v>163</v>
      </c>
      <c r="C43" s="317"/>
      <c r="D43" s="310"/>
      <c r="E43" s="155"/>
      <c r="F43" s="155"/>
      <c r="G43" s="326"/>
      <c r="H43" s="327"/>
      <c r="I43" s="327"/>
      <c r="J43" s="328"/>
      <c r="K43" s="125"/>
    </row>
    <row r="44" spans="1:11" ht="14.25" customHeight="1" x14ac:dyDescent="0.2">
      <c r="B44" s="157" t="s">
        <v>164</v>
      </c>
      <c r="C44" s="329"/>
      <c r="D44" s="314"/>
      <c r="E44" s="158"/>
      <c r="F44" s="158"/>
      <c r="G44" s="333"/>
      <c r="H44" s="296"/>
      <c r="I44" s="296"/>
      <c r="J44" s="334"/>
      <c r="K44" s="125"/>
    </row>
    <row r="45" spans="1:11" s="98" customFormat="1" ht="25.5" customHeight="1" x14ac:dyDescent="0.2">
      <c r="B45" s="339" t="s">
        <v>165</v>
      </c>
      <c r="C45" s="296"/>
      <c r="D45" s="296"/>
      <c r="E45" s="296"/>
      <c r="F45" s="296"/>
      <c r="G45" s="296"/>
      <c r="H45" s="296"/>
      <c r="I45" s="296"/>
      <c r="J45" s="334"/>
      <c r="K45" s="99"/>
    </row>
    <row r="46" spans="1:11" s="98" customFormat="1" ht="14.25" customHeight="1" x14ac:dyDescent="0.2">
      <c r="B46" s="159" t="s">
        <v>166</v>
      </c>
      <c r="C46" s="160" t="s">
        <v>167</v>
      </c>
      <c r="D46" s="161" t="s">
        <v>168</v>
      </c>
      <c r="E46" s="162"/>
      <c r="F46" s="160" t="s">
        <v>169</v>
      </c>
      <c r="G46" s="160" t="s">
        <v>170</v>
      </c>
      <c r="H46" s="161" t="s">
        <v>171</v>
      </c>
      <c r="I46" s="163"/>
      <c r="J46" s="164" t="s">
        <v>172</v>
      </c>
      <c r="K46" s="99"/>
    </row>
    <row r="47" spans="1:11" s="98" customFormat="1" ht="45" customHeight="1" x14ac:dyDescent="0.2">
      <c r="B47" s="165" t="s">
        <v>173</v>
      </c>
      <c r="C47" s="155"/>
      <c r="D47" s="317"/>
      <c r="E47" s="310"/>
      <c r="F47" s="155"/>
      <c r="G47" s="155"/>
      <c r="H47" s="317"/>
      <c r="I47" s="310"/>
      <c r="J47" s="166"/>
      <c r="K47" s="99"/>
    </row>
    <row r="48" spans="1:11" s="98" customFormat="1" ht="28.25" customHeight="1" x14ac:dyDescent="0.2">
      <c r="B48" s="165" t="s">
        <v>174</v>
      </c>
      <c r="C48" s="155" t="s">
        <v>175</v>
      </c>
      <c r="D48" s="317" t="s">
        <v>176</v>
      </c>
      <c r="E48" s="310"/>
      <c r="F48" s="155" t="s">
        <v>177</v>
      </c>
      <c r="G48" s="155" t="s">
        <v>178</v>
      </c>
      <c r="H48" s="317" t="s">
        <v>179</v>
      </c>
      <c r="I48" s="310"/>
      <c r="J48" s="167"/>
      <c r="K48" s="99"/>
    </row>
    <row r="49" spans="2:26" s="98" customFormat="1" ht="14.25" customHeight="1" x14ac:dyDescent="0.2">
      <c r="B49" s="165" t="s">
        <v>180</v>
      </c>
      <c r="C49" s="155"/>
      <c r="D49" s="317"/>
      <c r="E49" s="310"/>
      <c r="F49" s="155"/>
      <c r="G49" s="155"/>
      <c r="H49" s="317"/>
      <c r="I49" s="310"/>
      <c r="J49" s="167"/>
      <c r="K49" s="99"/>
    </row>
    <row r="50" spans="2:26" s="98" customFormat="1" ht="14.25" customHeight="1" x14ac:dyDescent="0.2">
      <c r="B50" s="165" t="s">
        <v>181</v>
      </c>
      <c r="C50" s="155"/>
      <c r="D50" s="317"/>
      <c r="E50" s="310"/>
      <c r="F50" s="155"/>
      <c r="G50" s="155"/>
      <c r="H50" s="317"/>
      <c r="I50" s="310"/>
      <c r="J50" s="167"/>
      <c r="K50" s="99"/>
    </row>
    <row r="51" spans="2:26" s="98" customFormat="1" ht="28.25" customHeight="1" x14ac:dyDescent="0.2">
      <c r="B51" s="165" t="s">
        <v>182</v>
      </c>
      <c r="C51" s="155" t="s">
        <v>195</v>
      </c>
      <c r="D51" s="317" t="s">
        <v>570</v>
      </c>
      <c r="E51" s="310"/>
      <c r="F51" s="155"/>
      <c r="G51" s="155" t="s">
        <v>183</v>
      </c>
      <c r="H51" s="317" t="s">
        <v>571</v>
      </c>
      <c r="I51" s="310"/>
      <c r="J51" s="167"/>
      <c r="K51" s="99"/>
    </row>
    <row r="52" spans="2:26" s="98" customFormat="1" ht="14.25" customHeight="1" x14ac:dyDescent="0.2">
      <c r="B52" s="165" t="s">
        <v>184</v>
      </c>
      <c r="C52" s="155"/>
      <c r="D52" s="317"/>
      <c r="E52" s="310"/>
      <c r="F52" s="155"/>
      <c r="G52" s="155"/>
      <c r="H52" s="317"/>
      <c r="I52" s="310"/>
      <c r="J52" s="167"/>
      <c r="K52" s="99"/>
    </row>
    <row r="53" spans="2:26" s="98" customFormat="1" ht="14.25" customHeight="1" x14ac:dyDescent="0.2">
      <c r="B53" s="165" t="s">
        <v>185</v>
      </c>
      <c r="C53" s="155"/>
      <c r="D53" s="317"/>
      <c r="E53" s="310"/>
      <c r="F53" s="155"/>
      <c r="G53" s="155"/>
      <c r="H53" s="317"/>
      <c r="I53" s="310"/>
      <c r="J53" s="167"/>
      <c r="K53" s="99"/>
    </row>
    <row r="54" spans="2:26" ht="14.25" customHeight="1" x14ac:dyDescent="0.2">
      <c r="B54" s="168"/>
      <c r="C54" s="158"/>
      <c r="D54" s="329"/>
      <c r="E54" s="314"/>
      <c r="F54" s="158"/>
      <c r="G54" s="158"/>
      <c r="H54" s="169"/>
      <c r="I54" s="170"/>
      <c r="J54" s="171"/>
    </row>
    <row r="55" spans="2:26" s="98" customFormat="1" ht="25.5" customHeight="1" x14ac:dyDescent="0.2">
      <c r="B55" s="318" t="s">
        <v>186</v>
      </c>
      <c r="C55" s="319"/>
      <c r="D55" s="319"/>
      <c r="E55" s="319"/>
      <c r="F55" s="319"/>
      <c r="G55" s="319"/>
      <c r="H55" s="319"/>
      <c r="I55" s="319"/>
      <c r="J55" s="320"/>
      <c r="K55" s="99"/>
    </row>
    <row r="56" spans="2:26" s="172" customFormat="1" ht="28.5" customHeight="1" x14ac:dyDescent="0.2">
      <c r="B56" s="342" t="s">
        <v>187</v>
      </c>
      <c r="C56" s="343"/>
      <c r="D56" s="173" t="s">
        <v>188</v>
      </c>
      <c r="E56" s="174" t="s">
        <v>189</v>
      </c>
      <c r="F56" s="173" t="s">
        <v>171</v>
      </c>
      <c r="G56" s="175"/>
      <c r="H56" s="175"/>
      <c r="I56" s="175"/>
      <c r="J56" s="176" t="s">
        <v>190</v>
      </c>
      <c r="K56" s="177"/>
      <c r="L56" s="178"/>
      <c r="M56" s="178"/>
      <c r="N56" s="178"/>
      <c r="O56" s="178"/>
      <c r="P56" s="178"/>
      <c r="Q56" s="178"/>
      <c r="R56" s="178"/>
      <c r="S56" s="178"/>
      <c r="T56" s="178"/>
      <c r="U56" s="178"/>
      <c r="V56" s="178"/>
      <c r="W56" s="178"/>
      <c r="X56" s="178"/>
      <c r="Y56" s="178"/>
      <c r="Z56" s="178"/>
    </row>
    <row r="57" spans="2:26" s="98" customFormat="1" ht="14.25" customHeight="1" x14ac:dyDescent="0.2">
      <c r="B57" s="331" t="s">
        <v>191</v>
      </c>
      <c r="C57" s="310"/>
      <c r="D57" s="179" t="s">
        <v>195</v>
      </c>
      <c r="E57" s="155"/>
      <c r="F57" s="325"/>
      <c r="G57" s="316"/>
      <c r="H57" s="316"/>
      <c r="I57" s="310"/>
      <c r="J57" s="180"/>
      <c r="K57" s="99"/>
    </row>
    <row r="58" spans="2:26" s="98" customFormat="1" ht="30" customHeight="1" x14ac:dyDescent="0.2">
      <c r="B58" s="331" t="s">
        <v>192</v>
      </c>
      <c r="C58" s="310"/>
      <c r="D58" s="179" t="s">
        <v>195</v>
      </c>
      <c r="E58" s="155" t="s">
        <v>193</v>
      </c>
      <c r="F58" s="325" t="s">
        <v>572</v>
      </c>
      <c r="G58" s="316"/>
      <c r="H58" s="316"/>
      <c r="I58" s="310"/>
      <c r="J58" s="181"/>
      <c r="K58" s="99"/>
    </row>
    <row r="59" spans="2:26" s="98" customFormat="1" ht="14.25" customHeight="1" x14ac:dyDescent="0.2">
      <c r="B59" s="331" t="s">
        <v>194</v>
      </c>
      <c r="C59" s="310"/>
      <c r="D59" s="179" t="s">
        <v>195</v>
      </c>
      <c r="E59" s="155" t="s">
        <v>195</v>
      </c>
      <c r="F59" s="325" t="s">
        <v>573</v>
      </c>
      <c r="G59" s="316"/>
      <c r="H59" s="316"/>
      <c r="I59" s="310"/>
      <c r="J59" s="181"/>
      <c r="K59" s="99"/>
    </row>
    <row r="60" spans="2:26" s="98" customFormat="1" ht="14.25" customHeight="1" x14ac:dyDescent="0.2">
      <c r="B60" s="331" t="s">
        <v>164</v>
      </c>
      <c r="C60" s="310"/>
      <c r="D60" s="179" t="s">
        <v>574</v>
      </c>
      <c r="E60" s="155" t="s">
        <v>193</v>
      </c>
      <c r="F60" s="325" t="s">
        <v>575</v>
      </c>
      <c r="G60" s="316"/>
      <c r="H60" s="316"/>
      <c r="I60" s="310"/>
      <c r="J60" s="181"/>
      <c r="K60" s="99"/>
    </row>
    <row r="61" spans="2:26" s="98" customFormat="1" ht="14.25" customHeight="1" x14ac:dyDescent="0.2">
      <c r="B61" s="331" t="s">
        <v>196</v>
      </c>
      <c r="C61" s="310"/>
      <c r="D61" s="179" t="s">
        <v>195</v>
      </c>
      <c r="E61" s="155" t="s">
        <v>193</v>
      </c>
      <c r="F61" s="325" t="s">
        <v>197</v>
      </c>
      <c r="G61" s="316"/>
      <c r="H61" s="316"/>
      <c r="I61" s="310"/>
      <c r="J61" s="181"/>
      <c r="K61" s="99"/>
    </row>
    <row r="62" spans="2:26" s="98" customFormat="1" ht="14.25" customHeight="1" x14ac:dyDescent="0.2">
      <c r="B62" s="330" t="s">
        <v>198</v>
      </c>
      <c r="C62" s="310"/>
      <c r="D62" s="179" t="s">
        <v>574</v>
      </c>
      <c r="E62" s="155" t="s">
        <v>193</v>
      </c>
      <c r="F62" s="325" t="s">
        <v>199</v>
      </c>
      <c r="G62" s="316"/>
      <c r="H62" s="316"/>
      <c r="I62" s="310"/>
      <c r="J62" s="167"/>
      <c r="K62" s="99"/>
    </row>
    <row r="63" spans="2:26" s="98" customFormat="1" ht="14.25" customHeight="1" x14ac:dyDescent="0.2">
      <c r="B63" s="182"/>
      <c r="C63" s="137"/>
      <c r="D63" s="179"/>
      <c r="E63" s="155"/>
      <c r="F63" s="344"/>
      <c r="G63" s="316"/>
      <c r="H63" s="316"/>
      <c r="I63" s="310"/>
      <c r="J63" s="167"/>
      <c r="K63" s="99"/>
    </row>
    <row r="64" spans="2:26" s="98" customFormat="1" ht="14.25" customHeight="1" x14ac:dyDescent="0.2">
      <c r="B64" s="182"/>
      <c r="C64" s="137"/>
      <c r="D64" s="179"/>
      <c r="E64" s="155"/>
      <c r="F64" s="344"/>
      <c r="G64" s="316"/>
      <c r="H64" s="316"/>
      <c r="I64" s="310"/>
      <c r="J64" s="167"/>
      <c r="K64" s="99"/>
    </row>
    <row r="65" spans="1:11" ht="14.25" customHeight="1" x14ac:dyDescent="0.2">
      <c r="B65" s="313"/>
      <c r="C65" s="314"/>
      <c r="D65" s="183"/>
      <c r="E65" s="158"/>
      <c r="F65" s="335"/>
      <c r="G65" s="296"/>
      <c r="H65" s="296"/>
      <c r="I65" s="314"/>
      <c r="J65" s="171"/>
    </row>
    <row r="66" spans="1:11" s="98" customFormat="1" ht="25.5" customHeight="1" x14ac:dyDescent="0.2">
      <c r="B66" s="318" t="s">
        <v>200</v>
      </c>
      <c r="C66" s="319"/>
      <c r="D66" s="319"/>
      <c r="E66" s="319"/>
      <c r="F66" s="319"/>
      <c r="G66" s="319"/>
      <c r="H66" s="319"/>
      <c r="I66" s="319"/>
      <c r="J66" s="320"/>
      <c r="K66" s="99"/>
    </row>
    <row r="67" spans="1:11" s="98" customFormat="1" ht="14.25" customHeight="1" x14ac:dyDescent="0.2">
      <c r="B67" s="184" t="s">
        <v>201</v>
      </c>
      <c r="C67" s="185"/>
      <c r="D67" s="185" t="s">
        <v>202</v>
      </c>
      <c r="E67" s="161" t="s">
        <v>203</v>
      </c>
      <c r="F67" s="163" t="s">
        <v>171</v>
      </c>
      <c r="G67" s="185" t="s">
        <v>171</v>
      </c>
      <c r="H67" s="185"/>
      <c r="I67" s="185"/>
      <c r="J67" s="164" t="s">
        <v>190</v>
      </c>
      <c r="K67" s="99"/>
    </row>
    <row r="68" spans="1:11" s="98" customFormat="1" ht="30.75" customHeight="1" x14ac:dyDescent="0.2">
      <c r="B68" s="346"/>
      <c r="C68" s="316"/>
      <c r="D68" s="316"/>
      <c r="E68" s="317"/>
      <c r="F68" s="310"/>
      <c r="G68" s="324"/>
      <c r="H68" s="316"/>
      <c r="I68" s="316"/>
      <c r="J68" s="180"/>
      <c r="K68" s="99"/>
    </row>
    <row r="69" spans="1:11" s="98" customFormat="1" ht="14.25" customHeight="1" x14ac:dyDescent="0.2">
      <c r="B69" s="315"/>
      <c r="C69" s="316"/>
      <c r="D69" s="316"/>
      <c r="E69" s="317"/>
      <c r="F69" s="310"/>
      <c r="G69" s="324"/>
      <c r="H69" s="316"/>
      <c r="I69" s="316"/>
      <c r="J69" s="181"/>
      <c r="K69" s="99"/>
    </row>
    <row r="70" spans="1:11" s="98" customFormat="1" ht="14.25" customHeight="1" x14ac:dyDescent="0.2">
      <c r="B70" s="348"/>
      <c r="C70" s="316"/>
      <c r="D70" s="316"/>
      <c r="E70" s="317"/>
      <c r="F70" s="310"/>
      <c r="G70" s="324"/>
      <c r="H70" s="316"/>
      <c r="I70" s="316"/>
      <c r="J70" s="181"/>
      <c r="K70" s="99"/>
    </row>
    <row r="71" spans="1:11" s="98" customFormat="1" ht="14.25" customHeight="1" x14ac:dyDescent="0.2">
      <c r="B71" s="315"/>
      <c r="C71" s="316"/>
      <c r="D71" s="316"/>
      <c r="E71" s="317"/>
      <c r="F71" s="310"/>
      <c r="G71" s="324"/>
      <c r="H71" s="316"/>
      <c r="I71" s="316"/>
      <c r="J71" s="167"/>
      <c r="K71" s="99"/>
    </row>
    <row r="72" spans="1:11" s="98" customFormat="1" ht="14.25" customHeight="1" x14ac:dyDescent="0.2">
      <c r="B72" s="346"/>
      <c r="C72" s="316"/>
      <c r="D72" s="316"/>
      <c r="E72" s="317"/>
      <c r="F72" s="310"/>
      <c r="G72" s="324"/>
      <c r="H72" s="316"/>
      <c r="I72" s="316"/>
      <c r="J72" s="167"/>
      <c r="K72" s="99"/>
    </row>
    <row r="73" spans="1:11" s="98" customFormat="1" ht="14.25" customHeight="1" x14ac:dyDescent="0.2">
      <c r="B73" s="345"/>
      <c r="C73" s="316"/>
      <c r="D73" s="316"/>
      <c r="E73" s="355"/>
      <c r="F73" s="310"/>
      <c r="G73" s="324"/>
      <c r="H73" s="316"/>
      <c r="I73" s="316"/>
      <c r="J73" s="167"/>
      <c r="K73" s="99"/>
    </row>
    <row r="74" spans="1:11" ht="14.25" customHeight="1" x14ac:dyDescent="0.2">
      <c r="B74" s="345"/>
      <c r="C74" s="327"/>
      <c r="D74" s="327"/>
      <c r="E74" s="317"/>
      <c r="F74" s="310"/>
      <c r="G74" s="324"/>
      <c r="H74" s="327"/>
      <c r="I74" s="327"/>
      <c r="J74" s="181"/>
    </row>
    <row r="75" spans="1:11" ht="14.25" customHeight="1" x14ac:dyDescent="0.2">
      <c r="B75" s="347"/>
      <c r="C75" s="296"/>
      <c r="D75" s="296"/>
      <c r="E75" s="329"/>
      <c r="F75" s="314"/>
      <c r="G75" s="351"/>
      <c r="H75" s="296"/>
      <c r="I75" s="296"/>
      <c r="J75" s="171"/>
    </row>
    <row r="76" spans="1:11" ht="25.5" customHeight="1" x14ac:dyDescent="0.2">
      <c r="B76" s="352" t="s">
        <v>204</v>
      </c>
      <c r="C76" s="319"/>
      <c r="D76" s="319"/>
      <c r="E76" s="319"/>
      <c r="F76" s="319"/>
      <c r="G76" s="319"/>
      <c r="H76" s="319"/>
      <c r="I76" s="319"/>
      <c r="J76" s="320"/>
    </row>
    <row r="77" spans="1:11" ht="14.25" customHeight="1" x14ac:dyDescent="0.2">
      <c r="B77" s="186" t="s">
        <v>205</v>
      </c>
      <c r="C77" s="187"/>
      <c r="D77" s="187"/>
      <c r="E77" s="187"/>
      <c r="F77" s="188"/>
      <c r="G77" s="189" t="s">
        <v>171</v>
      </c>
      <c r="H77" s="187"/>
      <c r="I77" s="188"/>
      <c r="J77" s="190" t="s">
        <v>206</v>
      </c>
    </row>
    <row r="78" spans="1:11" s="127" customFormat="1" ht="14.25" customHeight="1" x14ac:dyDescent="0.2">
      <c r="A78" s="124"/>
      <c r="B78" s="308"/>
      <c r="C78" s="309"/>
      <c r="D78" s="309"/>
      <c r="E78" s="309"/>
      <c r="F78" s="310"/>
      <c r="G78" s="325"/>
      <c r="H78" s="309"/>
      <c r="I78" s="310"/>
      <c r="J78" s="191"/>
      <c r="K78" s="125"/>
    </row>
    <row r="79" spans="1:11" s="127" customFormat="1" ht="14.25" customHeight="1" x14ac:dyDescent="0.2">
      <c r="A79" s="124"/>
      <c r="B79" s="308"/>
      <c r="C79" s="309"/>
      <c r="D79" s="309"/>
      <c r="E79" s="309"/>
      <c r="F79" s="310"/>
      <c r="G79" s="325"/>
      <c r="H79" s="309"/>
      <c r="I79" s="310"/>
      <c r="J79" s="191"/>
      <c r="K79" s="125"/>
    </row>
    <row r="80" spans="1:11" s="127" customFormat="1" ht="14.25" customHeight="1" x14ac:dyDescent="0.2">
      <c r="A80" s="124"/>
      <c r="B80" s="308"/>
      <c r="C80" s="309"/>
      <c r="D80" s="309"/>
      <c r="E80" s="309"/>
      <c r="F80" s="310"/>
      <c r="G80" s="325"/>
      <c r="H80" s="309"/>
      <c r="I80" s="310"/>
      <c r="J80" s="191"/>
      <c r="K80" s="125"/>
    </row>
    <row r="81" spans="1:11" s="127" customFormat="1" ht="14.25" customHeight="1" x14ac:dyDescent="0.2">
      <c r="A81" s="124"/>
      <c r="B81" s="308"/>
      <c r="C81" s="309"/>
      <c r="D81" s="309"/>
      <c r="E81" s="309"/>
      <c r="F81" s="310"/>
      <c r="G81" s="325"/>
      <c r="H81" s="309"/>
      <c r="I81" s="310"/>
      <c r="J81" s="191"/>
      <c r="K81" s="125"/>
    </row>
    <row r="82" spans="1:11" s="127" customFormat="1" ht="14.25" customHeight="1" x14ac:dyDescent="0.2">
      <c r="A82" s="124"/>
      <c r="B82" s="308"/>
      <c r="C82" s="309"/>
      <c r="D82" s="309"/>
      <c r="E82" s="309"/>
      <c r="F82" s="310"/>
      <c r="G82" s="325"/>
      <c r="H82" s="309"/>
      <c r="I82" s="310"/>
      <c r="J82" s="191"/>
      <c r="K82" s="125"/>
    </row>
    <row r="83" spans="1:11" s="127" customFormat="1" ht="14.25" customHeight="1" x14ac:dyDescent="0.2">
      <c r="A83" s="124"/>
      <c r="B83" s="308"/>
      <c r="C83" s="309"/>
      <c r="D83" s="309"/>
      <c r="E83" s="309"/>
      <c r="F83" s="310"/>
      <c r="G83" s="325"/>
      <c r="H83" s="309"/>
      <c r="I83" s="310"/>
      <c r="J83" s="191"/>
      <c r="K83" s="125"/>
    </row>
    <row r="84" spans="1:11" s="127" customFormat="1" ht="14.25" customHeight="1" x14ac:dyDescent="0.2">
      <c r="A84" s="124"/>
      <c r="B84" s="308"/>
      <c r="C84" s="309"/>
      <c r="D84" s="309"/>
      <c r="E84" s="309"/>
      <c r="F84" s="310"/>
      <c r="G84" s="325"/>
      <c r="H84" s="309"/>
      <c r="I84" s="310"/>
      <c r="J84" s="191"/>
      <c r="K84" s="125"/>
    </row>
    <row r="85" spans="1:11" s="127" customFormat="1" ht="14.25" customHeight="1" x14ac:dyDescent="0.2">
      <c r="A85" s="124"/>
      <c r="B85" s="308"/>
      <c r="C85" s="309"/>
      <c r="D85" s="309"/>
      <c r="E85" s="309"/>
      <c r="F85" s="310"/>
      <c r="G85" s="325"/>
      <c r="H85" s="309"/>
      <c r="I85" s="310"/>
      <c r="J85" s="191"/>
      <c r="K85" s="125"/>
    </row>
    <row r="86" spans="1:11" s="127" customFormat="1" ht="14.25" customHeight="1" x14ac:dyDescent="0.2">
      <c r="A86" s="124"/>
      <c r="B86" s="308"/>
      <c r="C86" s="309"/>
      <c r="D86" s="309"/>
      <c r="E86" s="309"/>
      <c r="F86" s="310"/>
      <c r="G86" s="325"/>
      <c r="H86" s="309"/>
      <c r="I86" s="310"/>
      <c r="J86" s="191"/>
      <c r="K86" s="125"/>
    </row>
    <row r="87" spans="1:11" s="127" customFormat="1" ht="14.25" customHeight="1" x14ac:dyDescent="0.2">
      <c r="A87" s="124"/>
      <c r="B87" s="308"/>
      <c r="C87" s="309"/>
      <c r="D87" s="309"/>
      <c r="E87" s="309"/>
      <c r="F87" s="310"/>
      <c r="G87" s="325"/>
      <c r="H87" s="309"/>
      <c r="I87" s="310"/>
      <c r="J87" s="191"/>
      <c r="K87" s="125"/>
    </row>
    <row r="88" spans="1:11" s="127" customFormat="1" ht="14.25" customHeight="1" x14ac:dyDescent="0.2">
      <c r="A88" s="124"/>
      <c r="B88" s="308"/>
      <c r="C88" s="309"/>
      <c r="D88" s="309"/>
      <c r="E88" s="309"/>
      <c r="F88" s="310"/>
      <c r="G88" s="325"/>
      <c r="H88" s="309"/>
      <c r="I88" s="310"/>
      <c r="J88" s="191"/>
      <c r="K88" s="125"/>
    </row>
    <row r="89" spans="1:11" s="127" customFormat="1" ht="14.25" customHeight="1" x14ac:dyDescent="0.2">
      <c r="A89" s="124"/>
      <c r="B89" s="308"/>
      <c r="C89" s="309"/>
      <c r="D89" s="309"/>
      <c r="E89" s="309"/>
      <c r="F89" s="310"/>
      <c r="G89" s="325"/>
      <c r="H89" s="309"/>
      <c r="I89" s="310"/>
      <c r="J89" s="191"/>
      <c r="K89" s="125"/>
    </row>
    <row r="90" spans="1:11" s="127" customFormat="1" ht="14.25" customHeight="1" x14ac:dyDescent="0.2">
      <c r="A90" s="124"/>
      <c r="B90" s="308"/>
      <c r="C90" s="309"/>
      <c r="D90" s="309"/>
      <c r="E90" s="309"/>
      <c r="F90" s="310"/>
      <c r="G90" s="325"/>
      <c r="H90" s="309"/>
      <c r="I90" s="310"/>
      <c r="J90" s="191"/>
      <c r="K90" s="125"/>
    </row>
    <row r="91" spans="1:11" s="127" customFormat="1" ht="14.25" customHeight="1" x14ac:dyDescent="0.2">
      <c r="A91" s="124"/>
      <c r="B91" s="308"/>
      <c r="C91" s="309"/>
      <c r="D91" s="309"/>
      <c r="E91" s="309"/>
      <c r="F91" s="310"/>
      <c r="G91" s="325"/>
      <c r="H91" s="309"/>
      <c r="I91" s="310"/>
      <c r="J91" s="191"/>
      <c r="K91" s="125"/>
    </row>
    <row r="92" spans="1:11" s="127" customFormat="1" ht="14.25" customHeight="1" x14ac:dyDescent="0.2">
      <c r="A92" s="124"/>
      <c r="B92" s="308"/>
      <c r="C92" s="309"/>
      <c r="D92" s="309"/>
      <c r="E92" s="309"/>
      <c r="F92" s="310"/>
      <c r="G92" s="325"/>
      <c r="H92" s="309"/>
      <c r="I92" s="310"/>
      <c r="J92" s="191"/>
      <c r="K92" s="125"/>
    </row>
    <row r="93" spans="1:11" s="127" customFormat="1" ht="14.25" customHeight="1" x14ac:dyDescent="0.2">
      <c r="A93" s="124"/>
      <c r="B93" s="308"/>
      <c r="C93" s="309"/>
      <c r="D93" s="309"/>
      <c r="E93" s="309"/>
      <c r="F93" s="310"/>
      <c r="G93" s="325"/>
      <c r="H93" s="309"/>
      <c r="I93" s="310"/>
      <c r="J93" s="191"/>
      <c r="K93" s="125"/>
    </row>
    <row r="94" spans="1:11" s="127" customFormat="1" ht="14.25" customHeight="1" x14ac:dyDescent="0.2">
      <c r="A94" s="124"/>
      <c r="B94" s="308"/>
      <c r="C94" s="309"/>
      <c r="D94" s="309"/>
      <c r="E94" s="309"/>
      <c r="F94" s="310"/>
      <c r="G94" s="325"/>
      <c r="H94" s="309"/>
      <c r="I94" s="310"/>
      <c r="J94" s="191"/>
      <c r="K94" s="125"/>
    </row>
    <row r="95" spans="1:11" s="127" customFormat="1" ht="14.25" customHeight="1" x14ac:dyDescent="0.2">
      <c r="A95" s="124"/>
      <c r="B95" s="308"/>
      <c r="C95" s="309"/>
      <c r="D95" s="309"/>
      <c r="E95" s="309"/>
      <c r="F95" s="310"/>
      <c r="G95" s="325"/>
      <c r="H95" s="309"/>
      <c r="I95" s="310"/>
      <c r="J95" s="191"/>
      <c r="K95" s="125"/>
    </row>
    <row r="96" spans="1:11" s="127" customFormat="1" ht="14.25" customHeight="1" x14ac:dyDescent="0.2">
      <c r="A96" s="124"/>
      <c r="B96" s="308"/>
      <c r="C96" s="309"/>
      <c r="D96" s="309"/>
      <c r="E96" s="309"/>
      <c r="F96" s="310"/>
      <c r="G96" s="325"/>
      <c r="H96" s="309"/>
      <c r="I96" s="310"/>
      <c r="J96" s="191"/>
      <c r="K96" s="125"/>
    </row>
    <row r="97" spans="1:11" s="127" customFormat="1" ht="14.25" customHeight="1" x14ac:dyDescent="0.2">
      <c r="A97" s="124"/>
      <c r="B97" s="308"/>
      <c r="C97" s="309"/>
      <c r="D97" s="309"/>
      <c r="E97" s="309"/>
      <c r="F97" s="310"/>
      <c r="G97" s="325"/>
      <c r="H97" s="309"/>
      <c r="I97" s="310"/>
      <c r="J97" s="191"/>
      <c r="K97" s="125"/>
    </row>
    <row r="98" spans="1:11" s="127" customFormat="1" ht="14.25" customHeight="1" x14ac:dyDescent="0.2">
      <c r="A98" s="124"/>
      <c r="B98" s="308"/>
      <c r="C98" s="309"/>
      <c r="D98" s="309"/>
      <c r="E98" s="309"/>
      <c r="F98" s="310"/>
      <c r="G98" s="325"/>
      <c r="H98" s="309"/>
      <c r="I98" s="310"/>
      <c r="J98" s="191"/>
      <c r="K98" s="125"/>
    </row>
    <row r="99" spans="1:11" s="127" customFormat="1" ht="14.25" customHeight="1" x14ac:dyDescent="0.2">
      <c r="A99" s="124"/>
      <c r="B99" s="308"/>
      <c r="C99" s="309"/>
      <c r="D99" s="309"/>
      <c r="E99" s="309"/>
      <c r="F99" s="310"/>
      <c r="G99" s="325"/>
      <c r="H99" s="309"/>
      <c r="I99" s="310"/>
      <c r="J99" s="191"/>
      <c r="K99" s="125"/>
    </row>
    <row r="100" spans="1:11" s="127" customFormat="1" ht="14.25" customHeight="1" x14ac:dyDescent="0.2">
      <c r="A100" s="124"/>
      <c r="B100" s="341"/>
      <c r="C100" s="300"/>
      <c r="D100" s="300"/>
      <c r="E100" s="300"/>
      <c r="F100" s="337"/>
      <c r="G100" s="336"/>
      <c r="H100" s="300"/>
      <c r="I100" s="337"/>
      <c r="J100" s="192"/>
      <c r="K100" s="125"/>
    </row>
    <row r="101" spans="1:11" s="127" customFormat="1" ht="14.25" customHeight="1" x14ac:dyDescent="0.2">
      <c r="A101" s="124"/>
      <c r="B101" s="193"/>
      <c r="C101" s="194"/>
      <c r="D101" s="194"/>
      <c r="J101" s="195"/>
      <c r="K101" s="125"/>
    </row>
    <row r="102" spans="1:11" s="127" customFormat="1" ht="14.25" customHeight="1" x14ac:dyDescent="0.2">
      <c r="A102" s="124"/>
      <c r="B102" s="193"/>
      <c r="C102" s="194"/>
      <c r="D102" s="194"/>
      <c r="J102" s="195"/>
      <c r="K102" s="125"/>
    </row>
    <row r="103" spans="1:11" s="127" customFormat="1" ht="14.25" customHeight="1" x14ac:dyDescent="0.2">
      <c r="A103" s="124"/>
      <c r="B103" s="193"/>
      <c r="C103" s="194"/>
      <c r="D103" s="194"/>
      <c r="J103" s="195"/>
      <c r="K103" s="125"/>
    </row>
    <row r="104" spans="1:11" s="127" customFormat="1" ht="14.25" customHeight="1" x14ac:dyDescent="0.2">
      <c r="A104" s="124"/>
      <c r="B104" s="193"/>
      <c r="C104" s="194"/>
      <c r="D104" s="194"/>
      <c r="J104" s="195"/>
      <c r="K104" s="125"/>
    </row>
    <row r="105" spans="1:11" s="127" customFormat="1" ht="14.25" customHeight="1" x14ac:dyDescent="0.2">
      <c r="A105" s="124"/>
      <c r="B105" s="193"/>
      <c r="C105" s="193"/>
      <c r="K105" s="125"/>
    </row>
    <row r="106" spans="1:11" s="127" customFormat="1" ht="14.25" customHeight="1" x14ac:dyDescent="0.2">
      <c r="A106" s="124"/>
      <c r="B106" s="193"/>
      <c r="C106" s="194"/>
      <c r="K106" s="125"/>
    </row>
    <row r="107" spans="1:11" s="127" customFormat="1" ht="14.25" customHeight="1" x14ac:dyDescent="0.2">
      <c r="A107" s="124"/>
      <c r="B107" s="193"/>
      <c r="C107" s="193"/>
      <c r="K107" s="125"/>
    </row>
    <row r="108" spans="1:11" s="127" customFormat="1" ht="14.25" customHeight="1" x14ac:dyDescent="0.2">
      <c r="A108" s="124"/>
      <c r="B108" s="193"/>
      <c r="C108" s="194"/>
      <c r="K108" s="125"/>
    </row>
    <row r="109" spans="1:11" s="98" customFormat="1" ht="14.25" customHeight="1" x14ac:dyDescent="0.2">
      <c r="K109" s="99"/>
    </row>
    <row r="148" spans="2:2" ht="15.75" customHeight="1" x14ac:dyDescent="0.2">
      <c r="B148" s="196"/>
    </row>
  </sheetData>
  <mergeCells count="167">
    <mergeCell ref="B90:F90"/>
    <mergeCell ref="E71:F71"/>
    <mergeCell ref="B22:C22"/>
    <mergeCell ref="G87:I87"/>
    <mergeCell ref="B31:C31"/>
    <mergeCell ref="H17:J17"/>
    <mergeCell ref="D33:J33"/>
    <mergeCell ref="E73:F73"/>
    <mergeCell ref="B21:C21"/>
    <mergeCell ref="G40:J40"/>
    <mergeCell ref="D51:E51"/>
    <mergeCell ref="B80:F80"/>
    <mergeCell ref="E75:F75"/>
    <mergeCell ref="G95:I95"/>
    <mergeCell ref="G89:I89"/>
    <mergeCell ref="H22:J22"/>
    <mergeCell ref="H19:J19"/>
    <mergeCell ref="C41:D41"/>
    <mergeCell ref="G79:I79"/>
    <mergeCell ref="B61:C61"/>
    <mergeCell ref="G73:I73"/>
    <mergeCell ref="B14:C14"/>
    <mergeCell ref="G88:I88"/>
    <mergeCell ref="D48:E48"/>
    <mergeCell ref="H52:I52"/>
    <mergeCell ref="B55:J55"/>
    <mergeCell ref="C43:D43"/>
    <mergeCell ref="G90:I90"/>
    <mergeCell ref="F59:I59"/>
    <mergeCell ref="B35:J35"/>
    <mergeCell ref="B84:F84"/>
    <mergeCell ref="B92:F92"/>
    <mergeCell ref="B72:D72"/>
    <mergeCell ref="B25:J25"/>
    <mergeCell ref="B24:C24"/>
    <mergeCell ref="B33:C33"/>
    <mergeCell ref="B66:J66"/>
    <mergeCell ref="B94:F94"/>
    <mergeCell ref="B32:C32"/>
    <mergeCell ref="B70:D70"/>
    <mergeCell ref="H21:J21"/>
    <mergeCell ref="B11:J11"/>
    <mergeCell ref="B16:C16"/>
    <mergeCell ref="F58:I58"/>
    <mergeCell ref="G69:I69"/>
    <mergeCell ref="B73:D73"/>
    <mergeCell ref="G78:I78"/>
    <mergeCell ref="H50:I50"/>
    <mergeCell ref="B18:C18"/>
    <mergeCell ref="B27:C27"/>
    <mergeCell ref="G92:I92"/>
    <mergeCell ref="D29:J29"/>
    <mergeCell ref="B17:C17"/>
    <mergeCell ref="B57:C57"/>
    <mergeCell ref="H14:J14"/>
    <mergeCell ref="G75:I75"/>
    <mergeCell ref="B76:J76"/>
    <mergeCell ref="H47:I47"/>
    <mergeCell ref="C39:D39"/>
    <mergeCell ref="H53:I53"/>
    <mergeCell ref="B81:F81"/>
    <mergeCell ref="B96:F96"/>
    <mergeCell ref="G44:J44"/>
    <mergeCell ref="H16:J16"/>
    <mergeCell ref="F60:I60"/>
    <mergeCell ref="F57:I57"/>
    <mergeCell ref="G80:I80"/>
    <mergeCell ref="H49:I49"/>
    <mergeCell ref="B98:F98"/>
    <mergeCell ref="B74:D74"/>
    <mergeCell ref="B68:D68"/>
    <mergeCell ref="C40:D40"/>
    <mergeCell ref="F63:I63"/>
    <mergeCell ref="B88:F88"/>
    <mergeCell ref="D53:E53"/>
    <mergeCell ref="B82:F82"/>
    <mergeCell ref="D47:E47"/>
    <mergeCell ref="B29:C29"/>
    <mergeCell ref="G38:J38"/>
    <mergeCell ref="G81:I81"/>
    <mergeCell ref="G96:I96"/>
    <mergeCell ref="B75:D75"/>
    <mergeCell ref="C44:D44"/>
    <mergeCell ref="B60:C60"/>
    <mergeCell ref="E69:F69"/>
    <mergeCell ref="B99:F99"/>
    <mergeCell ref="D27:J27"/>
    <mergeCell ref="H20:J20"/>
    <mergeCell ref="B83:F83"/>
    <mergeCell ref="G71:I71"/>
    <mergeCell ref="B15:C15"/>
    <mergeCell ref="H48:I48"/>
    <mergeCell ref="G98:I98"/>
    <mergeCell ref="F62:I62"/>
    <mergeCell ref="B85:F85"/>
    <mergeCell ref="G82:I82"/>
    <mergeCell ref="D28:J28"/>
    <mergeCell ref="E68:F68"/>
    <mergeCell ref="F61:I61"/>
    <mergeCell ref="G93:I93"/>
    <mergeCell ref="D30:J30"/>
    <mergeCell ref="G74:I74"/>
    <mergeCell ref="B56:C56"/>
    <mergeCell ref="G68:I68"/>
    <mergeCell ref="G83:I83"/>
    <mergeCell ref="B58:C58"/>
    <mergeCell ref="D52:E52"/>
    <mergeCell ref="F64:I64"/>
    <mergeCell ref="D49:E49"/>
    <mergeCell ref="G100:I100"/>
    <mergeCell ref="G94:I94"/>
    <mergeCell ref="H15:J15"/>
    <mergeCell ref="D31:J31"/>
    <mergeCell ref="H24:J24"/>
    <mergeCell ref="B87:F87"/>
    <mergeCell ref="H18:J18"/>
    <mergeCell ref="G84:I84"/>
    <mergeCell ref="G39:J39"/>
    <mergeCell ref="B45:J45"/>
    <mergeCell ref="B19:C19"/>
    <mergeCell ref="B34:C34"/>
    <mergeCell ref="B28:C28"/>
    <mergeCell ref="G97:I97"/>
    <mergeCell ref="B91:F91"/>
    <mergeCell ref="B100:F100"/>
    <mergeCell ref="B93:F93"/>
    <mergeCell ref="E74:F74"/>
    <mergeCell ref="G91:I91"/>
    <mergeCell ref="G42:J42"/>
    <mergeCell ref="G85:I85"/>
    <mergeCell ref="G99:I99"/>
    <mergeCell ref="B78:F78"/>
    <mergeCell ref="H23:J23"/>
    <mergeCell ref="C42:D42"/>
    <mergeCell ref="G41:J41"/>
    <mergeCell ref="B69:D69"/>
    <mergeCell ref="B10:J10"/>
    <mergeCell ref="B86:F86"/>
    <mergeCell ref="G43:J43"/>
    <mergeCell ref="B23:C23"/>
    <mergeCell ref="H51:I51"/>
    <mergeCell ref="D34:J34"/>
    <mergeCell ref="F65:I65"/>
    <mergeCell ref="B97:F97"/>
    <mergeCell ref="I1:J1"/>
    <mergeCell ref="B65:C65"/>
    <mergeCell ref="B95:F95"/>
    <mergeCell ref="B71:D71"/>
    <mergeCell ref="B89:F89"/>
    <mergeCell ref="C37:D37"/>
    <mergeCell ref="B79:F79"/>
    <mergeCell ref="D50:E50"/>
    <mergeCell ref="B12:J12"/>
    <mergeCell ref="B4:J4"/>
    <mergeCell ref="G72:I72"/>
    <mergeCell ref="E70:F70"/>
    <mergeCell ref="G86:I86"/>
    <mergeCell ref="G37:J37"/>
    <mergeCell ref="D32:J32"/>
    <mergeCell ref="B30:C30"/>
    <mergeCell ref="C38:D38"/>
    <mergeCell ref="E72:F72"/>
    <mergeCell ref="G70:I70"/>
    <mergeCell ref="B20:C20"/>
    <mergeCell ref="D54:E54"/>
    <mergeCell ref="B62:C62"/>
    <mergeCell ref="B59:C59"/>
  </mergeCells>
  <dataValidations count="5">
    <dataValidation type="list" allowBlank="1" showInputMessage="1" showErrorMessage="1" sqref="C5" xr:uid="{00000000-0002-0000-0100-000000000000}">
      <formula1>"Account,Prospect"</formula1>
      <formula2>0</formula2>
    </dataValidation>
    <dataValidation type="list" allowBlank="1" showInputMessage="1" showErrorMessage="1" sqref="F14:F24" xr:uid="{00000000-0002-0000-0100-000001000000}">
      <formula1>"High,Medium,Low"</formula1>
      <formula2>0</formula2>
    </dataValidation>
    <dataValidation type="list" allowBlank="1" showInputMessage="1" showErrorMessage="1" sqref="G14:G24" xr:uid="{00000000-0002-0000-0100-000002000000}">
      <formula1>"Very Strong,Strong,Medium,Limited,None"</formula1>
      <formula2>0</formula2>
    </dataValidation>
    <dataValidation type="list" allowBlank="1" showInputMessage="1" showErrorMessage="1" sqref="E14:E24" xr:uid="{00000000-0002-0000-0100-000003000000}">
      <formula1>"Economic,User,Technical,Coach"</formula1>
      <formula2>0</formula2>
    </dataValidation>
    <dataValidation type="list" allowBlank="1" showInputMessage="1" showErrorMessage="1" sqref="C7" xr:uid="{00000000-0002-0000-0100-000004000000}">
      <formula1>"Previous/Repeat Client,Partner,Previous Employer,Previous Employee,Professional Group,Personal Relationship,Community,Website Organic,Digital Marketing,Cold Outreach"</formula1>
      <formula2>0</formula2>
    </dataValidation>
  </dataValidations>
  <hyperlinks>
    <hyperlink ref="C2" r:id="rId1" display="https://improving.crm.dynamics.com/main.aspx?appid=f131b2e1-596e-ec11-8943-000d3a9b1946&amp;forceUCI=1&amp;pagetype=entityrecord&amp;etn=account&amp;id=1c351a26-b77a-e611-80f6-5065f38ba121" xr:uid="{00000000-0004-0000-0100-000000000000}"/>
  </hyperlinks>
  <pageMargins left="0.25" right="0.25" top="0.75" bottom="0.7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2:Y147"/>
  <sheetViews>
    <sheetView topLeftCell="A14" zoomScaleNormal="100" workbookViewId="0">
      <selection activeCell="H25" sqref="H25:I25"/>
    </sheetView>
  </sheetViews>
  <sheetFormatPr baseColWidth="10" defaultColWidth="8.5" defaultRowHeight="14.25" customHeight="1" x14ac:dyDescent="0.2"/>
  <cols>
    <col min="1" max="1" width="11.33203125" customWidth="1"/>
    <col min="21" max="21" width="12" customWidth="1"/>
  </cols>
  <sheetData>
    <row r="22" spans="1:9" ht="15.75" customHeight="1" x14ac:dyDescent="0.2">
      <c r="A22" s="358" t="s">
        <v>207</v>
      </c>
      <c r="B22" s="327"/>
      <c r="C22" s="327"/>
      <c r="D22" s="327"/>
      <c r="E22" s="327"/>
      <c r="F22" s="327"/>
      <c r="G22" s="327"/>
      <c r="H22" s="327"/>
      <c r="I22" s="310"/>
    </row>
    <row r="23" spans="1:9" ht="14.25" customHeight="1" x14ac:dyDescent="0.2">
      <c r="A23" s="362" t="s">
        <v>208</v>
      </c>
      <c r="B23" s="319"/>
      <c r="C23" s="319"/>
      <c r="D23" s="319"/>
      <c r="E23" s="319"/>
      <c r="F23" s="319"/>
      <c r="G23" s="319"/>
      <c r="H23" s="319"/>
      <c r="I23" s="357"/>
    </row>
    <row r="24" spans="1:9" ht="14.25" customHeight="1" x14ac:dyDescent="0.2">
      <c r="A24" s="356" t="s">
        <v>209</v>
      </c>
      <c r="B24" s="319"/>
      <c r="C24" s="319"/>
      <c r="D24" s="319"/>
      <c r="E24" s="319"/>
      <c r="F24" s="319"/>
      <c r="G24" s="357"/>
      <c r="H24" s="361">
        <v>5000000</v>
      </c>
      <c r="I24" s="357"/>
    </row>
    <row r="25" spans="1:9" ht="14.25" customHeight="1" x14ac:dyDescent="0.2">
      <c r="A25" s="356" t="s">
        <v>210</v>
      </c>
      <c r="B25" s="319"/>
      <c r="C25" s="319"/>
      <c r="D25" s="319"/>
      <c r="E25" s="319"/>
      <c r="F25" s="319"/>
      <c r="G25" s="357"/>
      <c r="H25" s="360">
        <v>0.45</v>
      </c>
      <c r="I25" s="357"/>
    </row>
    <row r="26" spans="1:9" ht="14.25" customHeight="1" x14ac:dyDescent="0.2">
      <c r="A26" s="356" t="s">
        <v>211</v>
      </c>
      <c r="B26" s="319"/>
      <c r="C26" s="319"/>
      <c r="D26" s="319"/>
      <c r="E26" s="319"/>
      <c r="F26" s="319"/>
      <c r="G26" s="357"/>
      <c r="H26" s="360" t="s">
        <v>212</v>
      </c>
      <c r="I26" s="357"/>
    </row>
    <row r="27" spans="1:9" ht="14.25" customHeight="1" x14ac:dyDescent="0.2">
      <c r="A27" s="362" t="s">
        <v>213</v>
      </c>
      <c r="B27" s="319"/>
      <c r="C27" s="319"/>
      <c r="D27" s="319"/>
      <c r="E27" s="319"/>
      <c r="F27" s="319"/>
      <c r="G27" s="319"/>
      <c r="H27" s="319"/>
      <c r="I27" s="357"/>
    </row>
    <row r="28" spans="1:9" ht="14.25" customHeight="1" x14ac:dyDescent="0.2">
      <c r="A28" s="356" t="s">
        <v>214</v>
      </c>
      <c r="B28" s="319"/>
      <c r="C28" s="319"/>
      <c r="D28" s="319"/>
      <c r="E28" s="319"/>
      <c r="F28" s="319"/>
      <c r="G28" s="357"/>
      <c r="H28" s="359">
        <v>0</v>
      </c>
      <c r="I28" s="357"/>
    </row>
    <row r="29" spans="1:9" ht="14.25" customHeight="1" x14ac:dyDescent="0.2">
      <c r="A29" s="356" t="s">
        <v>215</v>
      </c>
      <c r="B29" s="319"/>
      <c r="C29" s="319"/>
      <c r="D29" s="319"/>
      <c r="E29" s="319"/>
      <c r="F29" s="319"/>
      <c r="G29" s="357"/>
      <c r="H29" s="360">
        <v>0</v>
      </c>
      <c r="I29" s="357"/>
    </row>
    <row r="30" spans="1:9" ht="14.25" customHeight="1" x14ac:dyDescent="0.2">
      <c r="A30" s="356" t="s">
        <v>216</v>
      </c>
      <c r="B30" s="319"/>
      <c r="C30" s="319"/>
      <c r="D30" s="319"/>
      <c r="E30" s="319"/>
      <c r="F30" s="319"/>
      <c r="G30" s="357"/>
      <c r="H30" s="360" t="s">
        <v>212</v>
      </c>
      <c r="I30" s="357"/>
    </row>
    <row r="52" spans="22:22" ht="14.25" customHeight="1" x14ac:dyDescent="0.2">
      <c r="V52" s="198"/>
    </row>
    <row r="120" spans="1:25" ht="14.25" customHeight="1" x14ac:dyDescent="0.2">
      <c r="A120" s="199" t="s">
        <v>217</v>
      </c>
      <c r="U120" t="s">
        <v>218</v>
      </c>
    </row>
    <row r="121" spans="1:25" ht="14.25" customHeight="1" x14ac:dyDescent="0.2">
      <c r="A121" t="s">
        <v>219</v>
      </c>
      <c r="B121" t="s">
        <v>220</v>
      </c>
      <c r="C121">
        <f>IF(H26="Y", 5, 0)</f>
        <v>5</v>
      </c>
      <c r="D121" t="s">
        <v>221</v>
      </c>
      <c r="F121">
        <f>C121*$V$121</f>
        <v>0.5</v>
      </c>
      <c r="U121" t="s">
        <v>222</v>
      </c>
      <c r="V121" s="200">
        <v>0.1</v>
      </c>
    </row>
    <row r="122" spans="1:25" ht="14.25" customHeight="1" x14ac:dyDescent="0.2">
      <c r="A122" t="s">
        <v>223</v>
      </c>
      <c r="B122" t="s">
        <v>220</v>
      </c>
      <c r="C122">
        <f t="array" ref="C122">_xlfn.IFS(H24&lt;=$U$126,$V$126, H24&lt;=$U$127,$V$127, H24&lt;=$U$128,$V$128, H24&lt;=$U$129, $V$129, H24&lt;=$U$130, $V$130, H24&gt;=$U$136,$V$136,H24&gt;=$U$135,$V$135,H24&gt;=$U$134,$V$134,H24&gt;=$U$133,$V$133,H24&gt;=$U$132,$V$132, H24&gt;0,$V$131)</f>
        <v>3</v>
      </c>
      <c r="D122" t="s">
        <v>221</v>
      </c>
      <c r="F122">
        <f>C122*$V$122</f>
        <v>2.0999999999999996</v>
      </c>
      <c r="U122" t="s">
        <v>223</v>
      </c>
      <c r="V122" s="200">
        <v>0.7</v>
      </c>
    </row>
    <row r="123" spans="1:25" ht="14.25" customHeight="1" x14ac:dyDescent="0.2">
      <c r="A123" t="s">
        <v>224</v>
      </c>
      <c r="B123" t="s">
        <v>220</v>
      </c>
      <c r="C123">
        <f t="array" ref="C123">_xlfn.IFS(H25&lt;$X$126,$Y$126, H25&gt;=$X$136,$Y$136,H25&gt;=$X$135,$Y$135,H25&gt;=$X$134,$Y$134,H25&gt;=$X$133,$Y$133,H25&gt;=$X$132,$Y$132, H25&gt;=$X$131,$Y$131,H25&gt;=$X$130,$Y$130,H25&gt;=$X$129,$Y$129,H25&gt;=$X$128,$Y$128,H25&gt;=$X$127,$Y$127  )</f>
        <v>4</v>
      </c>
      <c r="D123" t="s">
        <v>221</v>
      </c>
      <c r="F123">
        <f>C123*$V$123</f>
        <v>0.8</v>
      </c>
      <c r="U123" t="s">
        <v>225</v>
      </c>
      <c r="V123" s="200">
        <v>0.2</v>
      </c>
    </row>
    <row r="124" spans="1:25" ht="14.25" customHeight="1" x14ac:dyDescent="0.2">
      <c r="A124" s="185" t="s">
        <v>208</v>
      </c>
      <c r="F124" s="201">
        <f>SUM(F121:F123)</f>
        <v>3.3999999999999995</v>
      </c>
    </row>
    <row r="125" spans="1:25" ht="14.25" customHeight="1" x14ac:dyDescent="0.2">
      <c r="U125" t="s">
        <v>226</v>
      </c>
      <c r="V125" t="s">
        <v>227</v>
      </c>
      <c r="X125" t="s">
        <v>224</v>
      </c>
      <c r="Y125" t="s">
        <v>227</v>
      </c>
    </row>
    <row r="126" spans="1:25" ht="14.25" customHeight="1" x14ac:dyDescent="0.2">
      <c r="U126" s="202">
        <v>200000</v>
      </c>
      <c r="V126" s="198">
        <v>-5</v>
      </c>
      <c r="X126" s="200">
        <v>0.2</v>
      </c>
      <c r="Y126" s="198">
        <v>-5</v>
      </c>
    </row>
    <row r="127" spans="1:25" ht="14.25" customHeight="1" x14ac:dyDescent="0.2">
      <c r="A127" s="199" t="s">
        <v>228</v>
      </c>
      <c r="U127" s="202">
        <v>300000</v>
      </c>
      <c r="V127" s="198">
        <v>-4</v>
      </c>
      <c r="X127" s="200">
        <v>0.2</v>
      </c>
      <c r="Y127" s="198">
        <v>-4</v>
      </c>
    </row>
    <row r="128" spans="1:25" ht="14.25" customHeight="1" x14ac:dyDescent="0.2">
      <c r="A128" t="s">
        <v>219</v>
      </c>
      <c r="B128" t="s">
        <v>220</v>
      </c>
      <c r="C128">
        <f>IF(H30="Y", 5, 0)</f>
        <v>5</v>
      </c>
      <c r="D128" t="s">
        <v>221</v>
      </c>
      <c r="F128">
        <f>C128*$V$121</f>
        <v>0.5</v>
      </c>
      <c r="U128" s="202">
        <v>400000</v>
      </c>
      <c r="V128" s="198">
        <v>-3</v>
      </c>
      <c r="X128" s="200">
        <v>0.24</v>
      </c>
      <c r="Y128" s="198">
        <v>-3</v>
      </c>
    </row>
    <row r="129" spans="1:25" ht="14.25" customHeight="1" x14ac:dyDescent="0.2">
      <c r="A129" t="s">
        <v>223</v>
      </c>
      <c r="B129" t="s">
        <v>220</v>
      </c>
      <c r="C129" s="203">
        <f>( H28/(IF(H24&gt;=U136,U136,H24) )*V139+V138)</f>
        <v>-5</v>
      </c>
      <c r="D129" t="s">
        <v>221</v>
      </c>
      <c r="F129">
        <f>C129*$V$122</f>
        <v>-3.5</v>
      </c>
      <c r="H129" s="203"/>
      <c r="U129" s="202">
        <v>500000</v>
      </c>
      <c r="V129" s="198">
        <v>-2</v>
      </c>
      <c r="X129" s="200">
        <v>0.27</v>
      </c>
      <c r="Y129" s="198">
        <v>-2</v>
      </c>
    </row>
    <row r="130" spans="1:25" ht="14.25" customHeight="1" x14ac:dyDescent="0.2">
      <c r="A130" t="s">
        <v>224</v>
      </c>
      <c r="B130" t="s">
        <v>220</v>
      </c>
      <c r="C130">
        <f t="array" ref="C130">_xlfn.IFS(H29&gt;=X136,Y136,H29&lt;X126,Y126,H29&gt;0,(H29-X126)/(H25-X126)*V139+V138)</f>
        <v>-5</v>
      </c>
      <c r="D130" t="s">
        <v>221</v>
      </c>
      <c r="F130">
        <f>C130*$V$123</f>
        <v>-1</v>
      </c>
      <c r="U130" s="202">
        <v>750000</v>
      </c>
      <c r="V130" s="198">
        <v>-1</v>
      </c>
      <c r="X130" s="200">
        <v>0.3</v>
      </c>
      <c r="Y130" s="198">
        <v>-1</v>
      </c>
    </row>
    <row r="131" spans="1:25" ht="14.25" customHeight="1" x14ac:dyDescent="0.2">
      <c r="A131" s="185" t="s">
        <v>213</v>
      </c>
      <c r="F131" s="185">
        <f>SUM(F128:F130)</f>
        <v>-4</v>
      </c>
      <c r="U131" s="202">
        <v>1000000</v>
      </c>
      <c r="V131" s="198">
        <v>0</v>
      </c>
      <c r="X131" s="200">
        <v>0.32</v>
      </c>
      <c r="Y131" s="198">
        <v>0</v>
      </c>
    </row>
    <row r="132" spans="1:25" ht="14.25" customHeight="1" x14ac:dyDescent="0.2">
      <c r="U132" s="202">
        <v>1000000</v>
      </c>
      <c r="V132" s="198">
        <v>1</v>
      </c>
      <c r="X132" s="200">
        <v>0.34</v>
      </c>
      <c r="Y132" s="198">
        <v>1</v>
      </c>
    </row>
    <row r="133" spans="1:25" ht="14.25" customHeight="1" x14ac:dyDescent="0.2">
      <c r="B133" s="204" t="s">
        <v>229</v>
      </c>
      <c r="C133" s="204" t="s">
        <v>212</v>
      </c>
      <c r="U133" s="202">
        <v>2000000</v>
      </c>
      <c r="V133" s="198">
        <v>2</v>
      </c>
      <c r="X133" s="200">
        <v>0.37</v>
      </c>
      <c r="Y133" s="198">
        <v>2</v>
      </c>
    </row>
    <row r="134" spans="1:25" ht="14.25" customHeight="1" x14ac:dyDescent="0.2">
      <c r="B134" s="205">
        <f>F131</f>
        <v>-4</v>
      </c>
      <c r="C134" s="205">
        <f>F124</f>
        <v>3.3999999999999995</v>
      </c>
      <c r="U134" s="202">
        <v>5000000</v>
      </c>
      <c r="V134" s="198">
        <v>3</v>
      </c>
      <c r="X134" s="200">
        <v>0.4</v>
      </c>
      <c r="Y134" s="198">
        <v>3</v>
      </c>
    </row>
    <row r="135" spans="1:25" ht="14.25" customHeight="1" x14ac:dyDescent="0.2">
      <c r="U135" s="202">
        <v>10000000</v>
      </c>
      <c r="V135" s="198">
        <v>4</v>
      </c>
      <c r="X135" s="200">
        <v>0.45</v>
      </c>
      <c r="Y135" s="198">
        <v>4</v>
      </c>
    </row>
    <row r="136" spans="1:25" ht="14.25" customHeight="1" x14ac:dyDescent="0.2">
      <c r="U136" s="202">
        <v>20000000</v>
      </c>
      <c r="V136" s="198">
        <v>5</v>
      </c>
      <c r="X136" s="200">
        <v>0.5</v>
      </c>
      <c r="Y136" s="198">
        <v>5</v>
      </c>
    </row>
    <row r="137" spans="1:25" ht="14.25" customHeight="1" x14ac:dyDescent="0.2">
      <c r="U137" s="202"/>
    </row>
    <row r="138" spans="1:25" ht="14.25" customHeight="1" x14ac:dyDescent="0.2">
      <c r="U138" t="s">
        <v>230</v>
      </c>
      <c r="V138" s="198">
        <v>-5</v>
      </c>
      <c r="Y138" s="198"/>
    </row>
    <row r="139" spans="1:25" ht="14.25" customHeight="1" x14ac:dyDescent="0.2">
      <c r="A139" t="s">
        <v>231</v>
      </c>
      <c r="U139" t="s">
        <v>232</v>
      </c>
      <c r="V139" s="198">
        <v>10</v>
      </c>
    </row>
    <row r="140" spans="1:25" ht="14.25" customHeight="1" x14ac:dyDescent="0.2">
      <c r="A140" t="s">
        <v>233</v>
      </c>
    </row>
    <row r="141" spans="1:25" ht="14.25" customHeight="1" x14ac:dyDescent="0.2">
      <c r="A141" t="s">
        <v>234</v>
      </c>
    </row>
    <row r="142" spans="1:25" ht="14.25" customHeight="1" x14ac:dyDescent="0.2">
      <c r="A142" t="s">
        <v>235</v>
      </c>
    </row>
    <row r="143" spans="1:25" ht="14.25" customHeight="1" x14ac:dyDescent="0.2">
      <c r="A143" t="s">
        <v>236</v>
      </c>
    </row>
    <row r="144" spans="1:25" ht="14.25" customHeight="1" x14ac:dyDescent="0.2">
      <c r="A144" t="s">
        <v>237</v>
      </c>
    </row>
    <row r="145" spans="1:1" ht="14.25" customHeight="1" x14ac:dyDescent="0.2">
      <c r="A145" t="s">
        <v>238</v>
      </c>
    </row>
    <row r="146" spans="1:1" ht="14.25" customHeight="1" x14ac:dyDescent="0.2">
      <c r="A146" t="s">
        <v>239</v>
      </c>
    </row>
    <row r="147" spans="1:1" ht="14.25" customHeight="1" x14ac:dyDescent="0.2">
      <c r="A147" t="s">
        <v>240</v>
      </c>
    </row>
  </sheetData>
  <mergeCells count="15">
    <mergeCell ref="A30:G30"/>
    <mergeCell ref="A22:I22"/>
    <mergeCell ref="H28:I28"/>
    <mergeCell ref="H30:I30"/>
    <mergeCell ref="A28:G28"/>
    <mergeCell ref="H26:I26"/>
    <mergeCell ref="H25:I25"/>
    <mergeCell ref="H29:I29"/>
    <mergeCell ref="H24:I24"/>
    <mergeCell ref="A25:G25"/>
    <mergeCell ref="A23:I23"/>
    <mergeCell ref="A24:G24"/>
    <mergeCell ref="A26:G26"/>
    <mergeCell ref="A27:I27"/>
    <mergeCell ref="A29:G29"/>
  </mergeCells>
  <dataValidations count="1">
    <dataValidation type="list" allowBlank="1" showInputMessage="1" showErrorMessage="1" sqref="H26:I26 H30:I30" xr:uid="{00000000-0002-0000-0200-000000000000}">
      <formula1>"Y,N"</formula1>
      <formula2>0</formula2>
    </dataValidation>
  </dataValidation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D973"/>
    <pageSetUpPr fitToPage="1"/>
  </sheetPr>
  <dimension ref="A1:Z142"/>
  <sheetViews>
    <sheetView zoomScaleNormal="100" workbookViewId="0">
      <pane ySplit="10" topLeftCell="A11" activePane="bottomLeft" state="frozen"/>
      <selection pane="bottomLeft" activeCell="B34" sqref="B34"/>
    </sheetView>
  </sheetViews>
  <sheetFormatPr baseColWidth="10" defaultColWidth="8.5" defaultRowHeight="14.25" customHeight="1" x14ac:dyDescent="0.2"/>
  <cols>
    <col min="1" max="1" width="2.33203125" style="98" customWidth="1"/>
    <col min="2" max="10" width="18.33203125" customWidth="1"/>
    <col min="11" max="11" width="2.5" style="99" customWidth="1"/>
  </cols>
  <sheetData>
    <row r="1" spans="1:26" s="102" customFormat="1" ht="32.25" customHeight="1" x14ac:dyDescent="0.2">
      <c r="A1" s="311" t="s">
        <v>241</v>
      </c>
      <c r="B1" s="312"/>
      <c r="C1" s="312"/>
      <c r="D1" s="312"/>
      <c r="E1" s="101"/>
      <c r="F1" s="101"/>
      <c r="G1" s="101"/>
      <c r="H1" s="101"/>
      <c r="I1" s="311"/>
      <c r="J1" s="312"/>
    </row>
    <row r="2" spans="1:26" s="8" customFormat="1" ht="16.5" customHeight="1" x14ac:dyDescent="0.2">
      <c r="B2" s="9" t="s">
        <v>3</v>
      </c>
      <c r="C2" s="11" t="s">
        <v>242</v>
      </c>
      <c r="D2" s="7"/>
      <c r="E2" s="7"/>
      <c r="F2" s="4"/>
      <c r="G2" s="4"/>
      <c r="H2" s="4"/>
      <c r="I2" s="4"/>
      <c r="J2" s="4"/>
      <c r="K2" s="103"/>
      <c r="L2" s="103"/>
      <c r="M2" s="103"/>
      <c r="N2" s="103"/>
      <c r="O2" s="103"/>
      <c r="P2" s="103"/>
      <c r="Q2" s="103"/>
      <c r="R2" s="103"/>
      <c r="S2" s="103"/>
      <c r="T2" s="103"/>
      <c r="U2" s="103"/>
      <c r="V2" s="103"/>
      <c r="W2" s="103"/>
      <c r="X2" s="103"/>
      <c r="Y2" s="103"/>
      <c r="Z2" s="103"/>
    </row>
    <row r="3" spans="1:26" s="8" customFormat="1" ht="8.25" customHeight="1" x14ac:dyDescent="0.2">
      <c r="B3" s="9"/>
      <c r="C3" s="5"/>
      <c r="D3" s="7"/>
      <c r="E3" s="7"/>
      <c r="F3" s="4"/>
      <c r="G3" s="4"/>
      <c r="H3" s="4"/>
      <c r="I3" s="4"/>
      <c r="J3" s="4"/>
      <c r="K3" s="103"/>
      <c r="L3" s="103"/>
      <c r="M3" s="103"/>
      <c r="N3" s="103"/>
      <c r="O3" s="103"/>
      <c r="P3" s="103"/>
      <c r="Q3" s="103"/>
      <c r="R3" s="103"/>
      <c r="S3" s="103"/>
      <c r="T3" s="103"/>
      <c r="U3" s="103"/>
      <c r="V3" s="103"/>
      <c r="W3" s="103"/>
      <c r="X3" s="103"/>
      <c r="Y3" s="103"/>
      <c r="Z3" s="103"/>
    </row>
    <row r="4" spans="1:26" ht="25.5" customHeight="1" x14ac:dyDescent="0.2">
      <c r="B4" s="369" t="s">
        <v>86</v>
      </c>
      <c r="C4" s="287"/>
      <c r="D4" s="287"/>
      <c r="E4" s="287"/>
      <c r="F4" s="287"/>
      <c r="G4" s="287"/>
      <c r="H4" s="287"/>
      <c r="I4" s="287"/>
      <c r="J4" s="343"/>
    </row>
    <row r="5" spans="1:26" ht="14.25" customHeight="1" x14ac:dyDescent="0.2">
      <c r="B5" s="111" t="s">
        <v>87</v>
      </c>
      <c r="C5" s="105" t="s">
        <v>207</v>
      </c>
      <c r="D5" s="4"/>
      <c r="E5" s="106" t="s">
        <v>89</v>
      </c>
      <c r="F5" s="107" t="s">
        <v>243</v>
      </c>
      <c r="G5" s="4"/>
      <c r="H5" s="106" t="s">
        <v>91</v>
      </c>
      <c r="I5" s="108">
        <v>4500</v>
      </c>
      <c r="J5" s="112"/>
    </row>
    <row r="6" spans="1:26" ht="14.25" customHeight="1" x14ac:dyDescent="0.2">
      <c r="B6" s="114" t="s">
        <v>93</v>
      </c>
      <c r="C6" s="105" t="s">
        <v>244</v>
      </c>
      <c r="D6" s="4"/>
      <c r="E6" s="106" t="s">
        <v>95</v>
      </c>
      <c r="F6" s="107" t="s">
        <v>245</v>
      </c>
      <c r="G6" s="4"/>
      <c r="H6" s="111" t="s">
        <v>97</v>
      </c>
      <c r="I6" s="112" t="s">
        <v>246</v>
      </c>
      <c r="J6" s="112"/>
    </row>
    <row r="7" spans="1:26" ht="14.25" customHeight="1" x14ac:dyDescent="0.2">
      <c r="B7" s="106" t="s">
        <v>99</v>
      </c>
      <c r="C7" s="105" t="s">
        <v>247</v>
      </c>
      <c r="D7" s="4"/>
      <c r="E7" s="111" t="s">
        <v>101</v>
      </c>
      <c r="F7" s="112">
        <v>45658</v>
      </c>
      <c r="G7" s="4"/>
      <c r="H7" s="114" t="s">
        <v>102</v>
      </c>
      <c r="I7" s="107" t="s">
        <v>248</v>
      </c>
      <c r="J7" s="112"/>
    </row>
    <row r="8" spans="1:26" ht="14.25" customHeight="1" x14ac:dyDescent="0.2">
      <c r="B8" s="106" t="s">
        <v>249</v>
      </c>
      <c r="C8" s="107">
        <v>7</v>
      </c>
      <c r="D8" s="115"/>
      <c r="E8" s="111" t="s">
        <v>250</v>
      </c>
      <c r="F8" s="107">
        <v>7</v>
      </c>
      <c r="G8" s="115"/>
      <c r="H8" s="106" t="s">
        <v>251</v>
      </c>
      <c r="I8" s="206">
        <v>0.56599999999999995</v>
      </c>
      <c r="J8" s="4"/>
    </row>
    <row r="9" spans="1:26" ht="14.25" customHeight="1" x14ac:dyDescent="0.2">
      <c r="B9" s="106" t="s">
        <v>103</v>
      </c>
      <c r="C9" s="107" t="s">
        <v>252</v>
      </c>
      <c r="D9" s="4"/>
      <c r="E9" s="115"/>
      <c r="F9" s="116"/>
      <c r="G9" s="4"/>
      <c r="H9" s="4"/>
      <c r="I9" s="4"/>
      <c r="J9" s="4"/>
    </row>
    <row r="10" spans="1:26" ht="10.5" customHeight="1" x14ac:dyDescent="0.2">
      <c r="B10" s="98"/>
      <c r="C10" s="119"/>
      <c r="D10" s="120"/>
      <c r="E10" s="120"/>
      <c r="F10" s="121"/>
      <c r="G10" s="98"/>
      <c r="H10" s="122"/>
      <c r="I10" s="119"/>
      <c r="J10" s="98"/>
    </row>
    <row r="11" spans="1:26" ht="25.5" customHeight="1" x14ac:dyDescent="0.2">
      <c r="B11" s="358" t="s">
        <v>253</v>
      </c>
      <c r="C11" s="327"/>
      <c r="D11" s="327"/>
      <c r="E11" s="327"/>
      <c r="F11" s="327"/>
      <c r="G11" s="327"/>
      <c r="H11" s="327"/>
      <c r="I11" s="327"/>
      <c r="J11" s="310"/>
    </row>
    <row r="12" spans="1:26" s="127" customFormat="1" ht="41.25" customHeight="1" x14ac:dyDescent="0.2">
      <c r="A12" s="124"/>
      <c r="B12" s="207" t="s">
        <v>254</v>
      </c>
      <c r="C12" s="208"/>
      <c r="D12" s="208"/>
      <c r="E12" s="208"/>
      <c r="F12" s="132" t="s">
        <v>255</v>
      </c>
      <c r="G12" s="208" t="s">
        <v>256</v>
      </c>
      <c r="H12" s="208"/>
      <c r="I12" s="208"/>
      <c r="J12" s="208" t="s">
        <v>190</v>
      </c>
      <c r="K12" s="125"/>
      <c r="L12" s="126"/>
    </row>
    <row r="13" spans="1:26" s="127" customFormat="1" ht="34.5" customHeight="1" x14ac:dyDescent="0.2">
      <c r="A13" s="124"/>
      <c r="B13" s="386" t="s">
        <v>257</v>
      </c>
      <c r="C13" s="387"/>
      <c r="D13" s="387"/>
      <c r="E13" s="388"/>
      <c r="F13" s="209" t="s">
        <v>258</v>
      </c>
      <c r="G13" s="391" t="s">
        <v>259</v>
      </c>
      <c r="H13" s="387"/>
      <c r="I13" s="388"/>
      <c r="J13" s="210">
        <v>46387</v>
      </c>
      <c r="K13" s="125"/>
    </row>
    <row r="14" spans="1:26" ht="14.25" customHeight="1" x14ac:dyDescent="0.2">
      <c r="B14" s="370" t="s">
        <v>260</v>
      </c>
      <c r="C14" s="319"/>
      <c r="D14" s="319"/>
      <c r="E14" s="365"/>
      <c r="F14" s="211" t="s">
        <v>261</v>
      </c>
      <c r="G14" s="364" t="s">
        <v>262</v>
      </c>
      <c r="H14" s="319"/>
      <c r="I14" s="365"/>
      <c r="J14" s="212">
        <v>45962</v>
      </c>
    </row>
    <row r="15" spans="1:26" ht="14.25" customHeight="1" x14ac:dyDescent="0.2">
      <c r="B15" s="370" t="s">
        <v>263</v>
      </c>
      <c r="C15" s="319"/>
      <c r="D15" s="319"/>
      <c r="E15" s="365"/>
      <c r="F15" s="211" t="s">
        <v>258</v>
      </c>
      <c r="G15" s="364" t="s">
        <v>264</v>
      </c>
      <c r="H15" s="319"/>
      <c r="I15" s="365"/>
      <c r="J15" s="212">
        <v>45992</v>
      </c>
    </row>
    <row r="16" spans="1:26" ht="14.25" customHeight="1" x14ac:dyDescent="0.2">
      <c r="B16" s="370" t="s">
        <v>265</v>
      </c>
      <c r="C16" s="319"/>
      <c r="D16" s="319"/>
      <c r="E16" s="365"/>
      <c r="F16" s="213" t="s">
        <v>258</v>
      </c>
      <c r="G16" s="364" t="s">
        <v>266</v>
      </c>
      <c r="H16" s="319"/>
      <c r="I16" s="365"/>
      <c r="J16" s="212">
        <v>46052</v>
      </c>
    </row>
    <row r="17" spans="2:10" ht="28.25" customHeight="1" x14ac:dyDescent="0.2">
      <c r="B17" s="370" t="s">
        <v>267</v>
      </c>
      <c r="C17" s="319"/>
      <c r="D17" s="319"/>
      <c r="E17" s="365"/>
      <c r="F17" s="211" t="s">
        <v>258</v>
      </c>
      <c r="G17" s="364" t="s">
        <v>268</v>
      </c>
      <c r="H17" s="319"/>
      <c r="I17" s="365"/>
      <c r="J17" s="214">
        <v>46068</v>
      </c>
    </row>
    <row r="18" spans="2:10" ht="14.25" customHeight="1" x14ac:dyDescent="0.2">
      <c r="B18" s="370" t="s">
        <v>269</v>
      </c>
      <c r="C18" s="319"/>
      <c r="D18" s="319"/>
      <c r="E18" s="365"/>
      <c r="F18" s="211" t="s">
        <v>258</v>
      </c>
      <c r="G18" s="364" t="s">
        <v>270</v>
      </c>
      <c r="H18" s="319"/>
      <c r="I18" s="365"/>
      <c r="J18" s="214">
        <v>45703</v>
      </c>
    </row>
    <row r="19" spans="2:10" ht="28.5" customHeight="1" x14ac:dyDescent="0.2">
      <c r="B19" s="370" t="s">
        <v>271</v>
      </c>
      <c r="C19" s="319"/>
      <c r="D19" s="319"/>
      <c r="E19" s="365"/>
      <c r="F19" s="211" t="s">
        <v>258</v>
      </c>
      <c r="G19" s="364" t="s">
        <v>272</v>
      </c>
      <c r="H19" s="319"/>
      <c r="I19" s="365"/>
      <c r="J19" s="212">
        <v>46082</v>
      </c>
    </row>
    <row r="20" spans="2:10" ht="14.25" customHeight="1" x14ac:dyDescent="0.2">
      <c r="B20" s="370" t="s">
        <v>273</v>
      </c>
      <c r="C20" s="319"/>
      <c r="D20" s="319"/>
      <c r="E20" s="365"/>
      <c r="F20" s="211" t="s">
        <v>274</v>
      </c>
      <c r="G20" s="364" t="s">
        <v>275</v>
      </c>
      <c r="H20" s="319"/>
      <c r="I20" s="365"/>
      <c r="J20" s="212">
        <v>46174</v>
      </c>
    </row>
    <row r="21" spans="2:10" ht="14.25" customHeight="1" x14ac:dyDescent="0.2">
      <c r="B21" s="370" t="s">
        <v>276</v>
      </c>
      <c r="C21" s="319"/>
      <c r="D21" s="319"/>
      <c r="E21" s="365"/>
      <c r="F21" s="211" t="s">
        <v>277</v>
      </c>
      <c r="G21" s="364" t="s">
        <v>278</v>
      </c>
      <c r="H21" s="319"/>
      <c r="I21" s="365"/>
      <c r="J21" s="212">
        <v>46143</v>
      </c>
    </row>
    <row r="22" spans="2:10" ht="14.25" customHeight="1" x14ac:dyDescent="0.2">
      <c r="B22" s="370" t="s">
        <v>279</v>
      </c>
      <c r="C22" s="319"/>
      <c r="D22" s="319"/>
      <c r="E22" s="365"/>
      <c r="F22" s="211"/>
      <c r="G22" s="364"/>
      <c r="H22" s="319"/>
      <c r="I22" s="365"/>
      <c r="J22" s="212">
        <v>46174</v>
      </c>
    </row>
    <row r="23" spans="2:10" ht="14.25" customHeight="1" x14ac:dyDescent="0.2">
      <c r="B23" s="364"/>
      <c r="C23" s="319"/>
      <c r="D23" s="319"/>
      <c r="E23" s="365"/>
      <c r="F23" s="211"/>
      <c r="G23" s="364"/>
      <c r="H23" s="319"/>
      <c r="I23" s="365"/>
      <c r="J23" s="215"/>
    </row>
    <row r="24" spans="2:10" ht="14.25" customHeight="1" x14ac:dyDescent="0.2">
      <c r="B24" s="376"/>
      <c r="C24" s="377"/>
      <c r="D24" s="377"/>
      <c r="E24" s="378"/>
      <c r="F24" s="216"/>
      <c r="G24" s="376"/>
      <c r="H24" s="377"/>
      <c r="I24" s="378"/>
      <c r="J24" s="217"/>
    </row>
    <row r="25" spans="2:10" ht="25.5" customHeight="1" x14ac:dyDescent="0.2">
      <c r="B25" s="358" t="s">
        <v>280</v>
      </c>
      <c r="C25" s="327"/>
      <c r="D25" s="327"/>
      <c r="E25" s="327"/>
      <c r="F25" s="327"/>
      <c r="G25" s="327"/>
      <c r="H25" s="327"/>
      <c r="I25" s="327"/>
      <c r="J25" s="310"/>
    </row>
    <row r="26" spans="2:10" ht="14.25" customHeight="1" x14ac:dyDescent="0.2">
      <c r="B26" s="218" t="s">
        <v>281</v>
      </c>
      <c r="C26" s="130"/>
      <c r="D26" s="130"/>
      <c r="E26" s="130"/>
      <c r="F26" s="208" t="s">
        <v>282</v>
      </c>
      <c r="G26" s="208" t="s">
        <v>256</v>
      </c>
      <c r="H26" s="208"/>
      <c r="I26" s="208"/>
      <c r="J26" s="208" t="s">
        <v>190</v>
      </c>
    </row>
    <row r="27" spans="2:10" ht="14.25" customHeight="1" x14ac:dyDescent="0.2">
      <c r="B27" s="373" t="s">
        <v>283</v>
      </c>
      <c r="C27" s="303"/>
      <c r="D27" s="303"/>
      <c r="E27" s="304"/>
      <c r="F27" s="219"/>
      <c r="G27" s="381"/>
      <c r="H27" s="303"/>
      <c r="I27" s="304"/>
      <c r="J27" s="210">
        <v>46053</v>
      </c>
    </row>
    <row r="28" spans="2:10" ht="14.25" customHeight="1" x14ac:dyDescent="0.2">
      <c r="B28" s="373" t="s">
        <v>284</v>
      </c>
      <c r="C28" s="303"/>
      <c r="D28" s="303"/>
      <c r="E28" s="304"/>
      <c r="F28" s="219"/>
      <c r="G28" s="381"/>
      <c r="H28" s="303"/>
      <c r="I28" s="304"/>
      <c r="J28" s="210">
        <v>46053</v>
      </c>
    </row>
    <row r="29" spans="2:10" ht="14.25" customHeight="1" x14ac:dyDescent="0.2">
      <c r="B29" s="373" t="s">
        <v>285</v>
      </c>
      <c r="C29" s="303"/>
      <c r="D29" s="303"/>
      <c r="E29" s="304"/>
      <c r="F29" s="219"/>
      <c r="G29" s="381"/>
      <c r="H29" s="303"/>
      <c r="I29" s="304"/>
      <c r="J29" s="210">
        <v>46053</v>
      </c>
    </row>
    <row r="30" spans="2:10" ht="28.25" customHeight="1" x14ac:dyDescent="0.2">
      <c r="B30" s="382" t="s">
        <v>286</v>
      </c>
      <c r="C30" s="303"/>
      <c r="D30" s="303"/>
      <c r="E30" s="304"/>
      <c r="F30" s="219" t="s">
        <v>277</v>
      </c>
      <c r="G30" s="381" t="s">
        <v>287</v>
      </c>
      <c r="H30" s="303"/>
      <c r="I30" s="304"/>
      <c r="J30" s="210">
        <v>46053</v>
      </c>
    </row>
    <row r="31" spans="2:10" ht="28.25" customHeight="1" x14ac:dyDescent="0.2">
      <c r="B31" s="372" t="s">
        <v>288</v>
      </c>
      <c r="C31" s="319"/>
      <c r="D31" s="319"/>
      <c r="E31" s="365"/>
      <c r="F31" s="211" t="s">
        <v>258</v>
      </c>
      <c r="G31" s="364" t="s">
        <v>289</v>
      </c>
      <c r="H31" s="319"/>
      <c r="I31" s="365"/>
      <c r="J31" s="212">
        <v>45992</v>
      </c>
    </row>
    <row r="32" spans="2:10" ht="30" customHeight="1" x14ac:dyDescent="0.2">
      <c r="B32" s="384" t="s">
        <v>290</v>
      </c>
      <c r="C32" s="327"/>
      <c r="D32" s="327"/>
      <c r="E32" s="291"/>
      <c r="F32" s="211" t="s">
        <v>258</v>
      </c>
      <c r="G32" s="364" t="s">
        <v>291</v>
      </c>
      <c r="H32" s="319"/>
      <c r="I32" s="365"/>
      <c r="J32" s="215" t="s">
        <v>292</v>
      </c>
    </row>
    <row r="33" spans="2:11" s="98" customFormat="1" ht="26.25" customHeight="1" x14ac:dyDescent="0.2">
      <c r="B33" s="372" t="s">
        <v>293</v>
      </c>
      <c r="C33" s="319"/>
      <c r="D33" s="319"/>
      <c r="E33" s="365"/>
      <c r="F33" s="211" t="s">
        <v>258</v>
      </c>
      <c r="G33" s="364" t="s">
        <v>294</v>
      </c>
      <c r="H33" s="319"/>
      <c r="I33" s="365"/>
      <c r="J33" s="212">
        <v>46023</v>
      </c>
      <c r="K33" s="99"/>
    </row>
    <row r="34" spans="2:11" s="98" customFormat="1" ht="14.25" customHeight="1" x14ac:dyDescent="0.2">
      <c r="B34" s="372" t="s">
        <v>295</v>
      </c>
      <c r="C34" s="319"/>
      <c r="D34" s="319"/>
      <c r="E34" s="365"/>
      <c r="F34" s="211" t="s">
        <v>274</v>
      </c>
      <c r="G34" s="364" t="s">
        <v>296</v>
      </c>
      <c r="H34" s="319"/>
      <c r="I34" s="365"/>
      <c r="J34" s="212">
        <v>46174</v>
      </c>
      <c r="K34" s="99"/>
    </row>
    <row r="35" spans="2:11" s="98" customFormat="1" ht="14.25" customHeight="1" x14ac:dyDescent="0.2">
      <c r="B35" s="372" t="s">
        <v>297</v>
      </c>
      <c r="C35" s="319"/>
      <c r="D35" s="319"/>
      <c r="E35" s="365"/>
      <c r="F35" s="211" t="s">
        <v>258</v>
      </c>
      <c r="G35" s="364" t="s">
        <v>298</v>
      </c>
      <c r="H35" s="319"/>
      <c r="I35" s="365"/>
      <c r="J35" s="212">
        <v>46174</v>
      </c>
      <c r="K35" s="99"/>
    </row>
    <row r="36" spans="2:11" s="98" customFormat="1" ht="14.25" customHeight="1" x14ac:dyDescent="0.2">
      <c r="B36" s="372" t="s">
        <v>299</v>
      </c>
      <c r="C36" s="319"/>
      <c r="D36" s="319"/>
      <c r="E36" s="365"/>
      <c r="F36" s="211" t="s">
        <v>258</v>
      </c>
      <c r="G36" s="364" t="s">
        <v>300</v>
      </c>
      <c r="H36" s="319"/>
      <c r="I36" s="365"/>
      <c r="J36" s="212">
        <v>46387</v>
      </c>
      <c r="K36" s="99"/>
    </row>
    <row r="37" spans="2:11" s="98" customFormat="1" ht="14.25" customHeight="1" x14ac:dyDescent="0.2">
      <c r="B37" s="372"/>
      <c r="C37" s="319"/>
      <c r="D37" s="319"/>
      <c r="E37" s="365"/>
      <c r="F37" s="211"/>
      <c r="G37" s="364"/>
      <c r="H37" s="319"/>
      <c r="I37" s="365"/>
      <c r="J37" s="215"/>
      <c r="K37" s="99"/>
    </row>
    <row r="38" spans="2:11" s="98" customFormat="1" ht="14.25" customHeight="1" x14ac:dyDescent="0.2">
      <c r="B38" s="389"/>
      <c r="C38" s="377"/>
      <c r="D38" s="377"/>
      <c r="E38" s="378"/>
      <c r="F38" s="216"/>
      <c r="G38" s="376"/>
      <c r="H38" s="377"/>
      <c r="I38" s="378"/>
      <c r="J38" s="217"/>
      <c r="K38" s="99"/>
    </row>
    <row r="39" spans="2:11" s="98" customFormat="1" ht="25.5" customHeight="1" x14ac:dyDescent="0.2">
      <c r="B39" s="374" t="s">
        <v>165</v>
      </c>
      <c r="C39" s="296"/>
      <c r="D39" s="296"/>
      <c r="E39" s="296"/>
      <c r="F39" s="296"/>
      <c r="G39" s="296"/>
      <c r="H39" s="296"/>
      <c r="I39" s="296"/>
      <c r="J39" s="314"/>
      <c r="K39" s="99"/>
    </row>
    <row r="40" spans="2:11" s="98" customFormat="1" ht="14.25" customHeight="1" x14ac:dyDescent="0.2">
      <c r="B40" s="160" t="s">
        <v>166</v>
      </c>
      <c r="C40" s="160" t="s">
        <v>167</v>
      </c>
      <c r="D40" s="161" t="s">
        <v>168</v>
      </c>
      <c r="E40" s="162"/>
      <c r="F40" s="160" t="s">
        <v>169</v>
      </c>
      <c r="G40" s="160" t="s">
        <v>170</v>
      </c>
      <c r="H40" s="161" t="s">
        <v>171</v>
      </c>
      <c r="I40" s="163"/>
      <c r="J40" s="131" t="s">
        <v>190</v>
      </c>
      <c r="K40" s="99"/>
    </row>
    <row r="41" spans="2:11" s="98" customFormat="1" ht="45" customHeight="1" x14ac:dyDescent="0.2">
      <c r="B41" s="220" t="s">
        <v>173</v>
      </c>
      <c r="C41" s="155" t="s">
        <v>195</v>
      </c>
      <c r="D41" s="317" t="s">
        <v>292</v>
      </c>
      <c r="E41" s="310"/>
      <c r="F41" s="155" t="s">
        <v>292</v>
      </c>
      <c r="G41" s="155" t="s">
        <v>301</v>
      </c>
      <c r="H41" s="317" t="s">
        <v>302</v>
      </c>
      <c r="I41" s="310"/>
      <c r="J41" s="221">
        <v>46053</v>
      </c>
      <c r="K41" s="99"/>
    </row>
    <row r="42" spans="2:11" s="98" customFormat="1" ht="14.25" customHeight="1" x14ac:dyDescent="0.2">
      <c r="B42" s="220" t="s">
        <v>174</v>
      </c>
      <c r="C42" s="155" t="s">
        <v>195</v>
      </c>
      <c r="D42" s="317" t="s">
        <v>303</v>
      </c>
      <c r="E42" s="310"/>
      <c r="F42" s="155" t="s">
        <v>304</v>
      </c>
      <c r="G42" s="155" t="s">
        <v>195</v>
      </c>
      <c r="H42" s="317" t="s">
        <v>305</v>
      </c>
      <c r="I42" s="310"/>
      <c r="J42" s="222">
        <v>46053</v>
      </c>
      <c r="K42" s="99"/>
    </row>
    <row r="43" spans="2:11" s="98" customFormat="1" ht="14.25" customHeight="1" x14ac:dyDescent="0.2">
      <c r="B43" s="220" t="s">
        <v>180</v>
      </c>
      <c r="C43" s="155" t="s">
        <v>195</v>
      </c>
      <c r="D43" s="317" t="s">
        <v>306</v>
      </c>
      <c r="E43" s="310"/>
      <c r="F43" s="155" t="s">
        <v>304</v>
      </c>
      <c r="G43" s="155" t="s">
        <v>195</v>
      </c>
      <c r="H43" s="317" t="s">
        <v>307</v>
      </c>
      <c r="I43" s="310"/>
      <c r="J43" s="222">
        <v>46113</v>
      </c>
      <c r="K43" s="99"/>
    </row>
    <row r="44" spans="2:11" s="98" customFormat="1" ht="14.25" customHeight="1" x14ac:dyDescent="0.2">
      <c r="B44" s="220" t="s">
        <v>181</v>
      </c>
      <c r="C44" s="155" t="s">
        <v>195</v>
      </c>
      <c r="D44" s="317" t="s">
        <v>292</v>
      </c>
      <c r="E44" s="310"/>
      <c r="F44" s="155" t="s">
        <v>292</v>
      </c>
      <c r="G44" s="155" t="s">
        <v>301</v>
      </c>
      <c r="H44" s="317" t="s">
        <v>308</v>
      </c>
      <c r="I44" s="310"/>
      <c r="J44" s="222">
        <v>46113</v>
      </c>
      <c r="K44" s="99"/>
    </row>
    <row r="45" spans="2:11" s="98" customFormat="1" ht="14.25" customHeight="1" x14ac:dyDescent="0.2">
      <c r="B45" s="220" t="s">
        <v>182</v>
      </c>
      <c r="C45" s="155" t="s">
        <v>195</v>
      </c>
      <c r="D45" s="317" t="s">
        <v>309</v>
      </c>
      <c r="E45" s="310"/>
      <c r="F45" s="155" t="s">
        <v>310</v>
      </c>
      <c r="G45" s="155" t="s">
        <v>195</v>
      </c>
      <c r="H45" s="317" t="s">
        <v>311</v>
      </c>
      <c r="I45" s="310"/>
      <c r="J45" s="222">
        <v>46113</v>
      </c>
      <c r="K45" s="99"/>
    </row>
    <row r="46" spans="2:11" s="98" customFormat="1" ht="14.25" customHeight="1" x14ac:dyDescent="0.2">
      <c r="B46" s="220" t="s">
        <v>184</v>
      </c>
      <c r="C46" s="155" t="s">
        <v>312</v>
      </c>
      <c r="D46" s="317" t="s">
        <v>292</v>
      </c>
      <c r="E46" s="310"/>
      <c r="F46" s="155" t="s">
        <v>292</v>
      </c>
      <c r="G46" s="155" t="s">
        <v>301</v>
      </c>
      <c r="H46" s="317" t="s">
        <v>313</v>
      </c>
      <c r="I46" s="310"/>
      <c r="J46" s="222">
        <v>46113</v>
      </c>
      <c r="K46" s="99"/>
    </row>
    <row r="47" spans="2:11" s="98" customFormat="1" ht="14.25" customHeight="1" x14ac:dyDescent="0.2">
      <c r="B47" s="220" t="s">
        <v>185</v>
      </c>
      <c r="C47" s="155" t="s">
        <v>195</v>
      </c>
      <c r="D47" s="317" t="s">
        <v>314</v>
      </c>
      <c r="E47" s="310"/>
      <c r="F47" s="155" t="s">
        <v>304</v>
      </c>
      <c r="G47" s="155" t="s">
        <v>195</v>
      </c>
      <c r="H47" s="317" t="s">
        <v>315</v>
      </c>
      <c r="I47" s="310"/>
      <c r="J47" s="222">
        <v>46113</v>
      </c>
      <c r="K47" s="99"/>
    </row>
    <row r="48" spans="2:11" ht="14.25" customHeight="1" x14ac:dyDescent="0.2">
      <c r="B48" s="158"/>
      <c r="C48" s="158"/>
      <c r="D48" s="329"/>
      <c r="E48" s="314"/>
      <c r="F48" s="158"/>
      <c r="G48" s="158"/>
      <c r="H48" s="169"/>
      <c r="I48" s="170"/>
      <c r="J48" s="158"/>
    </row>
    <row r="49" spans="2:11" s="98" customFormat="1" ht="25.5" customHeight="1" x14ac:dyDescent="0.2">
      <c r="B49" s="390" t="s">
        <v>186</v>
      </c>
      <c r="C49" s="319"/>
      <c r="D49" s="319"/>
      <c r="E49" s="319"/>
      <c r="F49" s="319"/>
      <c r="G49" s="319"/>
      <c r="H49" s="319"/>
      <c r="I49" s="319"/>
      <c r="J49" s="357"/>
      <c r="K49" s="99"/>
    </row>
    <row r="50" spans="2:11" s="98" customFormat="1" ht="14.25" customHeight="1" x14ac:dyDescent="0.2">
      <c r="B50" s="161" t="s">
        <v>316</v>
      </c>
      <c r="C50" s="163"/>
      <c r="D50" s="161" t="s">
        <v>188</v>
      </c>
      <c r="E50" s="163"/>
      <c r="F50" s="160" t="s">
        <v>189</v>
      </c>
      <c r="G50" s="185" t="s">
        <v>171</v>
      </c>
      <c r="H50" s="185"/>
      <c r="I50" s="185"/>
      <c r="J50" s="208" t="s">
        <v>190</v>
      </c>
      <c r="K50" s="99"/>
    </row>
    <row r="51" spans="2:11" s="98" customFormat="1" ht="28.25" customHeight="1" x14ac:dyDescent="0.2">
      <c r="B51" s="380" t="s">
        <v>191</v>
      </c>
      <c r="C51" s="310"/>
      <c r="D51" s="317" t="s">
        <v>195</v>
      </c>
      <c r="E51" s="310"/>
      <c r="F51" s="155" t="s">
        <v>183</v>
      </c>
      <c r="G51" s="385" t="s">
        <v>317</v>
      </c>
      <c r="H51" s="287"/>
      <c r="I51" s="343"/>
      <c r="J51" s="223">
        <v>46082</v>
      </c>
      <c r="K51" s="99"/>
    </row>
    <row r="52" spans="2:11" s="98" customFormat="1" ht="30" customHeight="1" x14ac:dyDescent="0.2">
      <c r="B52" s="380" t="s">
        <v>192</v>
      </c>
      <c r="C52" s="310"/>
      <c r="D52" s="317" t="s">
        <v>195</v>
      </c>
      <c r="E52" s="310"/>
      <c r="F52" s="155" t="s">
        <v>195</v>
      </c>
      <c r="G52" s="317" t="s">
        <v>318</v>
      </c>
      <c r="H52" s="316"/>
      <c r="I52" s="310"/>
      <c r="J52" s="155" t="s">
        <v>261</v>
      </c>
      <c r="K52" s="99"/>
    </row>
    <row r="53" spans="2:11" s="98" customFormat="1" ht="14.25" customHeight="1" x14ac:dyDescent="0.2">
      <c r="B53" s="380" t="s">
        <v>194</v>
      </c>
      <c r="C53" s="310"/>
      <c r="D53" s="317" t="s">
        <v>195</v>
      </c>
      <c r="E53" s="310"/>
      <c r="F53" s="155" t="s">
        <v>195</v>
      </c>
      <c r="G53" s="317" t="s">
        <v>319</v>
      </c>
      <c r="H53" s="316"/>
      <c r="I53" s="310"/>
      <c r="J53" s="155" t="s">
        <v>261</v>
      </c>
      <c r="K53" s="99"/>
    </row>
    <row r="54" spans="2:11" s="98" customFormat="1" ht="14.25" customHeight="1" x14ac:dyDescent="0.2">
      <c r="B54" s="380" t="s">
        <v>164</v>
      </c>
      <c r="C54" s="310"/>
      <c r="D54" s="317" t="s">
        <v>195</v>
      </c>
      <c r="E54" s="310"/>
      <c r="F54" s="155" t="s">
        <v>195</v>
      </c>
      <c r="G54" s="317" t="s">
        <v>320</v>
      </c>
      <c r="H54" s="316"/>
      <c r="I54" s="310"/>
      <c r="J54" s="155" t="s">
        <v>321</v>
      </c>
      <c r="K54" s="99"/>
    </row>
    <row r="55" spans="2:11" s="98" customFormat="1" ht="14.25" customHeight="1" x14ac:dyDescent="0.2">
      <c r="B55" s="380" t="s">
        <v>196</v>
      </c>
      <c r="C55" s="310"/>
      <c r="D55" s="317" t="s">
        <v>195</v>
      </c>
      <c r="E55" s="310"/>
      <c r="F55" s="155" t="s">
        <v>195</v>
      </c>
      <c r="G55" s="317" t="s">
        <v>322</v>
      </c>
      <c r="H55" s="316"/>
      <c r="I55" s="310"/>
      <c r="J55" s="155" t="s">
        <v>261</v>
      </c>
      <c r="K55" s="99"/>
    </row>
    <row r="56" spans="2:11" s="98" customFormat="1" ht="14.25" customHeight="1" x14ac:dyDescent="0.2">
      <c r="B56" s="379" t="s">
        <v>198</v>
      </c>
      <c r="C56" s="310"/>
      <c r="D56" s="317" t="s">
        <v>195</v>
      </c>
      <c r="E56" s="310"/>
      <c r="F56" s="155" t="s">
        <v>183</v>
      </c>
      <c r="G56" s="317" t="s">
        <v>323</v>
      </c>
      <c r="H56" s="316"/>
      <c r="I56" s="310"/>
      <c r="J56" s="222" t="s">
        <v>274</v>
      </c>
      <c r="K56" s="99"/>
    </row>
    <row r="57" spans="2:11" s="98" customFormat="1" ht="14.25" customHeight="1" x14ac:dyDescent="0.2">
      <c r="B57" s="224"/>
      <c r="C57" s="137"/>
      <c r="D57" s="317"/>
      <c r="E57" s="310"/>
      <c r="F57" s="155"/>
      <c r="G57" s="317"/>
      <c r="H57" s="316"/>
      <c r="I57" s="310"/>
      <c r="J57" s="222"/>
      <c r="K57" s="99"/>
    </row>
    <row r="58" spans="2:11" s="98" customFormat="1" ht="14.25" customHeight="1" x14ac:dyDescent="0.2">
      <c r="B58" s="224"/>
      <c r="C58" s="137"/>
      <c r="D58" s="317"/>
      <c r="E58" s="310"/>
      <c r="F58" s="155"/>
      <c r="G58" s="317"/>
      <c r="H58" s="316"/>
      <c r="I58" s="310"/>
      <c r="J58" s="222"/>
      <c r="K58" s="99"/>
    </row>
    <row r="59" spans="2:11" ht="14.25" customHeight="1" x14ac:dyDescent="0.2">
      <c r="B59" s="329"/>
      <c r="C59" s="314"/>
      <c r="D59" s="329"/>
      <c r="E59" s="314"/>
      <c r="F59" s="158"/>
      <c r="G59" s="329"/>
      <c r="H59" s="296"/>
      <c r="I59" s="314"/>
      <c r="J59" s="158"/>
    </row>
    <row r="60" spans="2:11" s="98" customFormat="1" ht="25.5" customHeight="1" x14ac:dyDescent="0.2">
      <c r="B60" s="390" t="s">
        <v>200</v>
      </c>
      <c r="C60" s="319"/>
      <c r="D60" s="319"/>
      <c r="E60" s="319"/>
      <c r="F60" s="319"/>
      <c r="G60" s="319"/>
      <c r="H60" s="319"/>
      <c r="I60" s="319"/>
      <c r="J60" s="357"/>
      <c r="K60" s="99"/>
    </row>
    <row r="61" spans="2:11" s="98" customFormat="1" ht="14.25" customHeight="1" x14ac:dyDescent="0.2">
      <c r="B61" s="185" t="s">
        <v>201</v>
      </c>
      <c r="C61" s="185"/>
      <c r="D61" s="185"/>
      <c r="E61" s="161" t="s">
        <v>324</v>
      </c>
      <c r="F61" s="163"/>
      <c r="G61" s="185" t="s">
        <v>171</v>
      </c>
      <c r="H61" s="185"/>
      <c r="I61" s="185"/>
      <c r="J61" s="131" t="s">
        <v>190</v>
      </c>
      <c r="K61" s="99"/>
    </row>
    <row r="62" spans="2:11" s="98" customFormat="1" ht="30.75" customHeight="1" x14ac:dyDescent="0.2">
      <c r="B62" s="371" t="s">
        <v>325</v>
      </c>
      <c r="C62" s="316"/>
      <c r="D62" s="316"/>
      <c r="E62" s="317" t="s">
        <v>326</v>
      </c>
      <c r="F62" s="310"/>
      <c r="G62" s="324" t="s">
        <v>327</v>
      </c>
      <c r="H62" s="316"/>
      <c r="I62" s="316"/>
      <c r="J62" s="221">
        <v>46082</v>
      </c>
      <c r="K62" s="99"/>
    </row>
    <row r="63" spans="2:11" s="98" customFormat="1" ht="14.25" customHeight="1" x14ac:dyDescent="0.2">
      <c r="B63" s="368" t="s">
        <v>328</v>
      </c>
      <c r="C63" s="316"/>
      <c r="D63" s="316"/>
      <c r="E63" s="317" t="s">
        <v>329</v>
      </c>
      <c r="F63" s="310"/>
      <c r="G63" s="324" t="s">
        <v>330</v>
      </c>
      <c r="H63" s="316"/>
      <c r="I63" s="316"/>
      <c r="J63" s="155" t="s">
        <v>292</v>
      </c>
      <c r="K63" s="99"/>
    </row>
    <row r="64" spans="2:11" s="98" customFormat="1" ht="14.25" customHeight="1" x14ac:dyDescent="0.2">
      <c r="B64" s="366"/>
      <c r="C64" s="316"/>
      <c r="D64" s="316"/>
      <c r="E64" s="317"/>
      <c r="F64" s="310"/>
      <c r="G64" s="324"/>
      <c r="H64" s="316"/>
      <c r="I64" s="316"/>
      <c r="J64" s="155"/>
      <c r="K64" s="99"/>
    </row>
    <row r="65" spans="1:11" s="98" customFormat="1" ht="14.25" customHeight="1" x14ac:dyDescent="0.2">
      <c r="B65" s="368"/>
      <c r="C65" s="316"/>
      <c r="D65" s="316"/>
      <c r="E65" s="317"/>
      <c r="F65" s="310"/>
      <c r="G65" s="324"/>
      <c r="H65" s="316"/>
      <c r="I65" s="316"/>
      <c r="J65" s="222"/>
      <c r="K65" s="99"/>
    </row>
    <row r="66" spans="1:11" s="98" customFormat="1" ht="14.25" customHeight="1" x14ac:dyDescent="0.2">
      <c r="B66" s="371"/>
      <c r="C66" s="316"/>
      <c r="D66" s="316"/>
      <c r="E66" s="317"/>
      <c r="F66" s="310"/>
      <c r="G66" s="324"/>
      <c r="H66" s="316"/>
      <c r="I66" s="316"/>
      <c r="J66" s="222"/>
      <c r="K66" s="99"/>
    </row>
    <row r="67" spans="1:11" s="98" customFormat="1" ht="14.25" customHeight="1" x14ac:dyDescent="0.2">
      <c r="B67" s="324"/>
      <c r="C67" s="316"/>
      <c r="D67" s="316"/>
      <c r="E67" s="355"/>
      <c r="F67" s="310"/>
      <c r="G67" s="324"/>
      <c r="H67" s="316"/>
      <c r="I67" s="316"/>
      <c r="J67" s="222"/>
      <c r="K67" s="99"/>
    </row>
    <row r="68" spans="1:11" ht="14.25" customHeight="1" x14ac:dyDescent="0.2">
      <c r="B68" s="324"/>
      <c r="C68" s="327"/>
      <c r="D68" s="327"/>
      <c r="E68" s="317"/>
      <c r="F68" s="310"/>
      <c r="G68" s="324"/>
      <c r="H68" s="327"/>
      <c r="I68" s="327"/>
      <c r="J68" s="155"/>
    </row>
    <row r="69" spans="1:11" ht="14.25" customHeight="1" x14ac:dyDescent="0.2">
      <c r="B69" s="351"/>
      <c r="C69" s="296"/>
      <c r="D69" s="296"/>
      <c r="E69" s="329"/>
      <c r="F69" s="314"/>
      <c r="G69" s="351"/>
      <c r="H69" s="296"/>
      <c r="I69" s="296"/>
      <c r="J69" s="158"/>
    </row>
    <row r="70" spans="1:11" ht="25.5" customHeight="1" x14ac:dyDescent="0.2">
      <c r="B70" s="375" t="s">
        <v>204</v>
      </c>
      <c r="C70" s="319"/>
      <c r="D70" s="319"/>
      <c r="E70" s="319"/>
      <c r="F70" s="319"/>
      <c r="G70" s="319"/>
      <c r="H70" s="319"/>
      <c r="I70" s="319"/>
      <c r="J70" s="357"/>
    </row>
    <row r="71" spans="1:11" ht="14.25" customHeight="1" x14ac:dyDescent="0.2">
      <c r="B71" s="189" t="s">
        <v>205</v>
      </c>
      <c r="C71" s="187"/>
      <c r="D71" s="187"/>
      <c r="E71" s="187"/>
      <c r="F71" s="188"/>
      <c r="G71" s="189" t="s">
        <v>171</v>
      </c>
      <c r="H71" s="187"/>
      <c r="I71" s="188"/>
      <c r="J71" s="226" t="s">
        <v>206</v>
      </c>
    </row>
    <row r="72" spans="1:11" s="127" customFormat="1" ht="14.25" customHeight="1" x14ac:dyDescent="0.2">
      <c r="A72" s="124"/>
      <c r="B72" s="363" t="s">
        <v>331</v>
      </c>
      <c r="C72" s="309"/>
      <c r="D72" s="309"/>
      <c r="E72" s="309"/>
      <c r="F72" s="310"/>
      <c r="G72" s="325" t="s">
        <v>332</v>
      </c>
      <c r="H72" s="309"/>
      <c r="I72" s="310"/>
      <c r="J72" s="227">
        <v>45968</v>
      </c>
      <c r="K72" s="125"/>
    </row>
    <row r="73" spans="1:11" s="127" customFormat="1" ht="14.25" customHeight="1" x14ac:dyDescent="0.2">
      <c r="A73" s="124"/>
      <c r="B73" s="363" t="s">
        <v>333</v>
      </c>
      <c r="C73" s="309"/>
      <c r="D73" s="309"/>
      <c r="E73" s="309"/>
      <c r="F73" s="310"/>
      <c r="G73" s="325" t="s">
        <v>334</v>
      </c>
      <c r="H73" s="309"/>
      <c r="I73" s="310"/>
      <c r="J73" s="227">
        <v>45968</v>
      </c>
      <c r="K73" s="125"/>
    </row>
    <row r="74" spans="1:11" s="127" customFormat="1" ht="14.25" customHeight="1" x14ac:dyDescent="0.2">
      <c r="A74" s="124"/>
      <c r="B74" s="363"/>
      <c r="C74" s="309"/>
      <c r="D74" s="309"/>
      <c r="E74" s="309"/>
      <c r="F74" s="310"/>
      <c r="G74" s="325"/>
      <c r="H74" s="309"/>
      <c r="I74" s="310"/>
      <c r="J74" s="227"/>
      <c r="K74" s="125"/>
    </row>
    <row r="75" spans="1:11" s="127" customFormat="1" ht="14.25" customHeight="1" x14ac:dyDescent="0.2">
      <c r="A75" s="124"/>
      <c r="B75" s="363"/>
      <c r="C75" s="309"/>
      <c r="D75" s="309"/>
      <c r="E75" s="309"/>
      <c r="F75" s="310"/>
      <c r="G75" s="325"/>
      <c r="H75" s="309"/>
      <c r="I75" s="310"/>
      <c r="J75" s="227"/>
      <c r="K75" s="125"/>
    </row>
    <row r="76" spans="1:11" s="127" customFormat="1" ht="14.25" customHeight="1" x14ac:dyDescent="0.2">
      <c r="A76" s="124"/>
      <c r="B76" s="363"/>
      <c r="C76" s="309"/>
      <c r="D76" s="309"/>
      <c r="E76" s="309"/>
      <c r="F76" s="310"/>
      <c r="G76" s="325"/>
      <c r="H76" s="309"/>
      <c r="I76" s="310"/>
      <c r="J76" s="227"/>
      <c r="K76" s="125"/>
    </row>
    <row r="77" spans="1:11" s="127" customFormat="1" ht="14.25" customHeight="1" x14ac:dyDescent="0.2">
      <c r="A77" s="124"/>
      <c r="B77" s="363"/>
      <c r="C77" s="309"/>
      <c r="D77" s="309"/>
      <c r="E77" s="309"/>
      <c r="F77" s="310"/>
      <c r="G77" s="325"/>
      <c r="H77" s="309"/>
      <c r="I77" s="310"/>
      <c r="J77" s="227"/>
      <c r="K77" s="125"/>
    </row>
    <row r="78" spans="1:11" s="127" customFormat="1" ht="14.25" customHeight="1" x14ac:dyDescent="0.2">
      <c r="A78" s="124"/>
      <c r="B78" s="363"/>
      <c r="C78" s="309"/>
      <c r="D78" s="309"/>
      <c r="E78" s="309"/>
      <c r="F78" s="310"/>
      <c r="G78" s="325"/>
      <c r="H78" s="309"/>
      <c r="I78" s="310"/>
      <c r="J78" s="227"/>
      <c r="K78" s="125"/>
    </row>
    <row r="79" spans="1:11" s="127" customFormat="1" ht="14.25" customHeight="1" x14ac:dyDescent="0.2">
      <c r="A79" s="124"/>
      <c r="B79" s="363"/>
      <c r="C79" s="309"/>
      <c r="D79" s="309"/>
      <c r="E79" s="309"/>
      <c r="F79" s="310"/>
      <c r="G79" s="325"/>
      <c r="H79" s="309"/>
      <c r="I79" s="310"/>
      <c r="J79" s="227"/>
      <c r="K79" s="125"/>
    </row>
    <row r="80" spans="1:11" s="127" customFormat="1" ht="14.25" customHeight="1" x14ac:dyDescent="0.2">
      <c r="A80" s="124"/>
      <c r="B80" s="363"/>
      <c r="C80" s="309"/>
      <c r="D80" s="309"/>
      <c r="E80" s="309"/>
      <c r="F80" s="310"/>
      <c r="G80" s="325"/>
      <c r="H80" s="309"/>
      <c r="I80" s="310"/>
      <c r="J80" s="227"/>
      <c r="K80" s="125"/>
    </row>
    <row r="81" spans="1:11" s="127" customFormat="1" ht="14.25" customHeight="1" x14ac:dyDescent="0.2">
      <c r="A81" s="124"/>
      <c r="B81" s="363"/>
      <c r="C81" s="309"/>
      <c r="D81" s="309"/>
      <c r="E81" s="309"/>
      <c r="F81" s="310"/>
      <c r="G81" s="325"/>
      <c r="H81" s="309"/>
      <c r="I81" s="310"/>
      <c r="J81" s="227"/>
      <c r="K81" s="125"/>
    </row>
    <row r="82" spans="1:11" s="127" customFormat="1" ht="14.25" customHeight="1" x14ac:dyDescent="0.2">
      <c r="A82" s="124"/>
      <c r="B82" s="363"/>
      <c r="C82" s="309"/>
      <c r="D82" s="309"/>
      <c r="E82" s="309"/>
      <c r="F82" s="310"/>
      <c r="G82" s="325"/>
      <c r="H82" s="309"/>
      <c r="I82" s="310"/>
      <c r="J82" s="227"/>
      <c r="K82" s="125"/>
    </row>
    <row r="83" spans="1:11" s="127" customFormat="1" ht="14.25" customHeight="1" x14ac:dyDescent="0.2">
      <c r="A83" s="124"/>
      <c r="B83" s="363"/>
      <c r="C83" s="309"/>
      <c r="D83" s="309"/>
      <c r="E83" s="309"/>
      <c r="F83" s="310"/>
      <c r="G83" s="325"/>
      <c r="H83" s="309"/>
      <c r="I83" s="310"/>
      <c r="J83" s="227"/>
      <c r="K83" s="125"/>
    </row>
    <row r="84" spans="1:11" s="127" customFormat="1" ht="14.25" customHeight="1" x14ac:dyDescent="0.2">
      <c r="A84" s="124"/>
      <c r="B84" s="363"/>
      <c r="C84" s="309"/>
      <c r="D84" s="309"/>
      <c r="E84" s="309"/>
      <c r="F84" s="310"/>
      <c r="G84" s="325"/>
      <c r="H84" s="309"/>
      <c r="I84" s="310"/>
      <c r="J84" s="227"/>
      <c r="K84" s="125"/>
    </row>
    <row r="85" spans="1:11" s="127" customFormat="1" ht="14.25" customHeight="1" x14ac:dyDescent="0.2">
      <c r="A85" s="124"/>
      <c r="B85" s="363"/>
      <c r="C85" s="309"/>
      <c r="D85" s="309"/>
      <c r="E85" s="309"/>
      <c r="F85" s="310"/>
      <c r="G85" s="325"/>
      <c r="H85" s="309"/>
      <c r="I85" s="310"/>
      <c r="J85" s="227"/>
      <c r="K85" s="125"/>
    </row>
    <row r="86" spans="1:11" s="127" customFormat="1" ht="14.25" customHeight="1" x14ac:dyDescent="0.2">
      <c r="A86" s="124"/>
      <c r="B86" s="363"/>
      <c r="C86" s="309"/>
      <c r="D86" s="309"/>
      <c r="E86" s="309"/>
      <c r="F86" s="310"/>
      <c r="G86" s="325"/>
      <c r="H86" s="309"/>
      <c r="I86" s="310"/>
      <c r="J86" s="227"/>
      <c r="K86" s="125"/>
    </row>
    <row r="87" spans="1:11" s="127" customFormat="1" ht="14.25" customHeight="1" x14ac:dyDescent="0.2">
      <c r="A87" s="124"/>
      <c r="B87" s="363"/>
      <c r="C87" s="309"/>
      <c r="D87" s="309"/>
      <c r="E87" s="309"/>
      <c r="F87" s="310"/>
      <c r="G87" s="325"/>
      <c r="H87" s="309"/>
      <c r="I87" s="310"/>
      <c r="J87" s="227"/>
      <c r="K87" s="125"/>
    </row>
    <row r="88" spans="1:11" s="127" customFormat="1" ht="14.25" customHeight="1" x14ac:dyDescent="0.2">
      <c r="A88" s="124"/>
      <c r="B88" s="363"/>
      <c r="C88" s="309"/>
      <c r="D88" s="309"/>
      <c r="E88" s="309"/>
      <c r="F88" s="310"/>
      <c r="G88" s="325"/>
      <c r="H88" s="309"/>
      <c r="I88" s="310"/>
      <c r="J88" s="227"/>
      <c r="K88" s="125"/>
    </row>
    <row r="89" spans="1:11" s="127" customFormat="1" ht="14.25" customHeight="1" x14ac:dyDescent="0.2">
      <c r="A89" s="124"/>
      <c r="B89" s="363"/>
      <c r="C89" s="309"/>
      <c r="D89" s="309"/>
      <c r="E89" s="309"/>
      <c r="F89" s="310"/>
      <c r="G89" s="325"/>
      <c r="H89" s="309"/>
      <c r="I89" s="310"/>
      <c r="J89" s="227"/>
      <c r="K89" s="125"/>
    </row>
    <row r="90" spans="1:11" s="127" customFormat="1" ht="14.25" customHeight="1" x14ac:dyDescent="0.2">
      <c r="A90" s="124"/>
      <c r="B90" s="363"/>
      <c r="C90" s="309"/>
      <c r="D90" s="309"/>
      <c r="E90" s="309"/>
      <c r="F90" s="310"/>
      <c r="G90" s="325"/>
      <c r="H90" s="309"/>
      <c r="I90" s="310"/>
      <c r="J90" s="227"/>
      <c r="K90" s="125"/>
    </row>
    <row r="91" spans="1:11" s="127" customFormat="1" ht="14.25" customHeight="1" x14ac:dyDescent="0.2">
      <c r="A91" s="124"/>
      <c r="B91" s="363"/>
      <c r="C91" s="309"/>
      <c r="D91" s="309"/>
      <c r="E91" s="309"/>
      <c r="F91" s="310"/>
      <c r="G91" s="325"/>
      <c r="H91" s="309"/>
      <c r="I91" s="310"/>
      <c r="J91" s="227"/>
      <c r="K91" s="125"/>
    </row>
    <row r="92" spans="1:11" s="127" customFormat="1" ht="14.25" customHeight="1" x14ac:dyDescent="0.2">
      <c r="A92" s="124"/>
      <c r="B92" s="363"/>
      <c r="C92" s="309"/>
      <c r="D92" s="309"/>
      <c r="E92" s="309"/>
      <c r="F92" s="310"/>
      <c r="G92" s="325"/>
      <c r="H92" s="309"/>
      <c r="I92" s="310"/>
      <c r="J92" s="227"/>
      <c r="K92" s="125"/>
    </row>
    <row r="93" spans="1:11" s="127" customFormat="1" ht="14.25" customHeight="1" x14ac:dyDescent="0.2">
      <c r="A93" s="124"/>
      <c r="B93" s="363"/>
      <c r="C93" s="309"/>
      <c r="D93" s="309"/>
      <c r="E93" s="309"/>
      <c r="F93" s="310"/>
      <c r="G93" s="325"/>
      <c r="H93" s="309"/>
      <c r="I93" s="310"/>
      <c r="J93" s="227"/>
      <c r="K93" s="125"/>
    </row>
    <row r="94" spans="1:11" s="127" customFormat="1" ht="14.25" customHeight="1" x14ac:dyDescent="0.2">
      <c r="A94" s="124"/>
      <c r="B94" s="383"/>
      <c r="C94" s="296"/>
      <c r="D94" s="296"/>
      <c r="E94" s="296"/>
      <c r="F94" s="314"/>
      <c r="G94" s="367"/>
      <c r="H94" s="296"/>
      <c r="I94" s="314"/>
      <c r="J94" s="228"/>
      <c r="K94" s="125"/>
    </row>
    <row r="95" spans="1:11" s="127" customFormat="1" ht="14.25" customHeight="1" x14ac:dyDescent="0.2">
      <c r="A95" s="124"/>
      <c r="B95" s="193"/>
      <c r="C95" s="194"/>
      <c r="D95" s="194"/>
      <c r="J95" s="195"/>
      <c r="K95" s="125"/>
    </row>
    <row r="96" spans="1:11" s="127" customFormat="1" ht="14.25" customHeight="1" x14ac:dyDescent="0.2">
      <c r="A96" s="124"/>
      <c r="B96" s="193"/>
      <c r="C96" s="194"/>
      <c r="D96" s="194"/>
      <c r="J96" s="195"/>
      <c r="K96" s="125"/>
    </row>
    <row r="97" spans="1:11" s="127" customFormat="1" ht="14.25" customHeight="1" x14ac:dyDescent="0.2">
      <c r="A97" s="124"/>
      <c r="B97" s="193"/>
      <c r="C97" s="194"/>
      <c r="D97" s="194"/>
      <c r="J97" s="195"/>
      <c r="K97" s="125"/>
    </row>
    <row r="98" spans="1:11" s="127" customFormat="1" ht="14.25" customHeight="1" x14ac:dyDescent="0.2">
      <c r="A98" s="124"/>
      <c r="B98" s="193"/>
      <c r="C98" s="194"/>
      <c r="D98" s="194"/>
      <c r="J98" s="195"/>
      <c r="K98" s="125"/>
    </row>
    <row r="99" spans="1:11" s="127" customFormat="1" ht="14.25" customHeight="1" x14ac:dyDescent="0.2">
      <c r="A99" s="124"/>
      <c r="B99" s="193"/>
      <c r="C99" s="193"/>
      <c r="D99" s="193"/>
      <c r="J99" s="229"/>
      <c r="K99" s="125"/>
    </row>
    <row r="100" spans="1:11" s="127" customFormat="1" ht="14.25" customHeight="1" x14ac:dyDescent="0.2">
      <c r="A100" s="124"/>
      <c r="B100" s="193"/>
      <c r="C100" s="194"/>
      <c r="D100" s="194"/>
      <c r="J100" s="195"/>
      <c r="K100" s="125"/>
    </row>
    <row r="101" spans="1:11" s="127" customFormat="1" ht="14.25" customHeight="1" x14ac:dyDescent="0.2">
      <c r="A101" s="124"/>
      <c r="B101" s="193"/>
      <c r="C101" s="193"/>
      <c r="D101" s="193"/>
      <c r="J101" s="195"/>
      <c r="K101" s="125"/>
    </row>
    <row r="102" spans="1:11" s="127" customFormat="1" ht="14.25" customHeight="1" x14ac:dyDescent="0.2">
      <c r="A102" s="124"/>
      <c r="B102" s="193"/>
      <c r="C102" s="194"/>
      <c r="D102" s="194"/>
      <c r="J102" s="195"/>
      <c r="K102" s="125"/>
    </row>
    <row r="103" spans="1:11" s="98" customFormat="1" ht="14.25" customHeight="1" x14ac:dyDescent="0.2">
      <c r="E103" s="202"/>
      <c r="F103" s="230"/>
      <c r="G103" s="231"/>
      <c r="J103" s="231"/>
      <c r="K103" s="99"/>
    </row>
    <row r="142" spans="2:2" ht="15.75" customHeight="1" x14ac:dyDescent="0.2">
      <c r="B142" s="196"/>
    </row>
  </sheetData>
  <mergeCells count="167">
    <mergeCell ref="B90:F90"/>
    <mergeCell ref="G62:I62"/>
    <mergeCell ref="G87:I87"/>
    <mergeCell ref="D45:E45"/>
    <mergeCell ref="B36:E36"/>
    <mergeCell ref="E64:F64"/>
    <mergeCell ref="G15:I15"/>
    <mergeCell ref="G24:I24"/>
    <mergeCell ref="G89:I89"/>
    <mergeCell ref="G65:I65"/>
    <mergeCell ref="E63:F63"/>
    <mergeCell ref="G79:I79"/>
    <mergeCell ref="G73:I73"/>
    <mergeCell ref="G88:I88"/>
    <mergeCell ref="B49:J49"/>
    <mergeCell ref="D48:E48"/>
    <mergeCell ref="B22:E22"/>
    <mergeCell ref="E65:F65"/>
    <mergeCell ref="G63:I63"/>
    <mergeCell ref="B31:E31"/>
    <mergeCell ref="B83:F83"/>
    <mergeCell ref="G27:I27"/>
    <mergeCell ref="B29:E29"/>
    <mergeCell ref="B76:F76"/>
    <mergeCell ref="G17:I17"/>
    <mergeCell ref="G16:I16"/>
    <mergeCell ref="G90:I90"/>
    <mergeCell ref="H45:I45"/>
    <mergeCell ref="B21:E21"/>
    <mergeCell ref="B62:D62"/>
    <mergeCell ref="D56:E56"/>
    <mergeCell ref="B84:F84"/>
    <mergeCell ref="G52:I52"/>
    <mergeCell ref="E66:F66"/>
    <mergeCell ref="B37:E37"/>
    <mergeCell ref="B85:F85"/>
    <mergeCell ref="G82:I82"/>
    <mergeCell ref="B75:F75"/>
    <mergeCell ref="B54:C54"/>
    <mergeCell ref="G66:I66"/>
    <mergeCell ref="G19:I19"/>
    <mergeCell ref="E68:F68"/>
    <mergeCell ref="G53:I53"/>
    <mergeCell ref="H43:I43"/>
    <mergeCell ref="B82:F82"/>
    <mergeCell ref="D47:E47"/>
    <mergeCell ref="B18:E18"/>
    <mergeCell ref="B27:E27"/>
    <mergeCell ref="G32:I32"/>
    <mergeCell ref="G54:I54"/>
    <mergeCell ref="G81:I81"/>
    <mergeCell ref="G56:I56"/>
    <mergeCell ref="B74:F74"/>
    <mergeCell ref="B60:J60"/>
    <mergeCell ref="B69:D69"/>
    <mergeCell ref="G33:I33"/>
    <mergeCell ref="B77:F77"/>
    <mergeCell ref="G38:I38"/>
    <mergeCell ref="B81:F81"/>
    <mergeCell ref="E62:F62"/>
    <mergeCell ref="B55:C55"/>
    <mergeCell ref="B23:E23"/>
    <mergeCell ref="B25:J25"/>
    <mergeCell ref="G36:I36"/>
    <mergeCell ref="B13:E13"/>
    <mergeCell ref="B51:C51"/>
    <mergeCell ref="B38:E38"/>
    <mergeCell ref="D51:E51"/>
    <mergeCell ref="B80:F80"/>
    <mergeCell ref="B14:E14"/>
    <mergeCell ref="G13:I13"/>
    <mergeCell ref="B30:E30"/>
    <mergeCell ref="G18:I18"/>
    <mergeCell ref="D46:E46"/>
    <mergeCell ref="B20:E20"/>
    <mergeCell ref="H44:I44"/>
    <mergeCell ref="B93:F93"/>
    <mergeCell ref="B94:F94"/>
    <mergeCell ref="B11:J11"/>
    <mergeCell ref="G28:I28"/>
    <mergeCell ref="G37:I37"/>
    <mergeCell ref="B72:F72"/>
    <mergeCell ref="E67:F67"/>
    <mergeCell ref="G69:I69"/>
    <mergeCell ref="B33:E33"/>
    <mergeCell ref="H41:I41"/>
    <mergeCell ref="G78:I78"/>
    <mergeCell ref="G92:I92"/>
    <mergeCell ref="G30:I30"/>
    <mergeCell ref="B32:E32"/>
    <mergeCell ref="G14:I14"/>
    <mergeCell ref="B35:E35"/>
    <mergeCell ref="G80:I80"/>
    <mergeCell ref="B16:E16"/>
    <mergeCell ref="G55:I55"/>
    <mergeCell ref="B34:E34"/>
    <mergeCell ref="D54:E54"/>
    <mergeCell ref="B28:E28"/>
    <mergeCell ref="B39:J39"/>
    <mergeCell ref="B70:J70"/>
    <mergeCell ref="B91:F91"/>
    <mergeCell ref="G93:I93"/>
    <mergeCell ref="B15:E15"/>
    <mergeCell ref="B24:E24"/>
    <mergeCell ref="G34:I34"/>
    <mergeCell ref="G74:I74"/>
    <mergeCell ref="B56:C56"/>
    <mergeCell ref="G68:I68"/>
    <mergeCell ref="G83:I83"/>
    <mergeCell ref="B52:C52"/>
    <mergeCell ref="G58:I58"/>
    <mergeCell ref="D52:E52"/>
    <mergeCell ref="G20:I20"/>
    <mergeCell ref="B65:D65"/>
    <mergeCell ref="E69:F69"/>
    <mergeCell ref="G29:I29"/>
    <mergeCell ref="B67:D67"/>
    <mergeCell ref="G57:I57"/>
    <mergeCell ref="B59:C59"/>
    <mergeCell ref="G91:I91"/>
    <mergeCell ref="G85:I85"/>
    <mergeCell ref="B78:F78"/>
    <mergeCell ref="D43:E43"/>
    <mergeCell ref="G75:I75"/>
    <mergeCell ref="D58:E58"/>
    <mergeCell ref="H47:I47"/>
    <mergeCell ref="G59:I59"/>
    <mergeCell ref="G94:I94"/>
    <mergeCell ref="B73:F73"/>
    <mergeCell ref="B87:F87"/>
    <mergeCell ref="G84:I84"/>
    <mergeCell ref="B63:D63"/>
    <mergeCell ref="G72:I72"/>
    <mergeCell ref="G86:I86"/>
    <mergeCell ref="D55:E55"/>
    <mergeCell ref="B66:D66"/>
    <mergeCell ref="G64:I64"/>
    <mergeCell ref="B68:D68"/>
    <mergeCell ref="G51:I51"/>
    <mergeCell ref="B53:C53"/>
    <mergeCell ref="B88:F88"/>
    <mergeCell ref="D53:E53"/>
    <mergeCell ref="B92:F92"/>
    <mergeCell ref="I1:J1"/>
    <mergeCell ref="G77:I77"/>
    <mergeCell ref="D42:E42"/>
    <mergeCell ref="G67:I67"/>
    <mergeCell ref="B89:F89"/>
    <mergeCell ref="B79:F79"/>
    <mergeCell ref="D44:E44"/>
    <mergeCell ref="D59:E59"/>
    <mergeCell ref="B86:F86"/>
    <mergeCell ref="H46:I46"/>
    <mergeCell ref="D57:E57"/>
    <mergeCell ref="G35:I35"/>
    <mergeCell ref="D41:E41"/>
    <mergeCell ref="G76:I76"/>
    <mergeCell ref="B64:D64"/>
    <mergeCell ref="A1:D1"/>
    <mergeCell ref="G22:I22"/>
    <mergeCell ref="G31:I31"/>
    <mergeCell ref="B4:J4"/>
    <mergeCell ref="G21:I21"/>
    <mergeCell ref="B17:E17"/>
    <mergeCell ref="H42:I42"/>
    <mergeCell ref="G23:I23"/>
    <mergeCell ref="B19:E19"/>
  </mergeCells>
  <hyperlinks>
    <hyperlink ref="C2" r:id="rId1" xr:uid="{00000000-0004-0000-0300-000000000000}"/>
  </hyperlinks>
  <pageMargins left="0.25" right="0.25" top="0.75" bottom="0.75" header="0.511811023622047" footer="0.511811023622047"/>
  <pageSetup fitToHeight="0" orientation="landscape" horizontalDpi="300" verticalDpi="30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D973"/>
  </sheetPr>
  <dimension ref="A1:K43"/>
  <sheetViews>
    <sheetView zoomScaleNormal="100" workbookViewId="0">
      <pane ySplit="2" topLeftCell="A25" activePane="bottomLeft" state="frozen"/>
      <selection pane="bottomLeft" activeCell="A11" sqref="A11"/>
    </sheetView>
  </sheetViews>
  <sheetFormatPr baseColWidth="10" defaultColWidth="8.5" defaultRowHeight="14.25" customHeight="1" x14ac:dyDescent="0.2"/>
  <cols>
    <col min="1" max="1" width="2.33203125" style="98" customWidth="1"/>
    <col min="2" max="2" width="16.5" customWidth="1"/>
    <col min="3" max="3" width="22.5" customWidth="1"/>
    <col min="4" max="4" width="20" customWidth="1"/>
    <col min="5" max="7" width="19.6640625" customWidth="1"/>
    <col min="8" max="8" width="21.5" customWidth="1"/>
    <col min="9" max="10" width="19.6640625" customWidth="1"/>
    <col min="11" max="11" width="4.83203125" style="98" customWidth="1"/>
  </cols>
  <sheetData>
    <row r="1" spans="1:11" ht="25.5" customHeight="1" x14ac:dyDescent="0.2">
      <c r="B1" s="390" t="s">
        <v>86</v>
      </c>
      <c r="C1" s="319"/>
      <c r="D1" s="319"/>
      <c r="E1" s="319"/>
      <c r="F1" s="319"/>
      <c r="G1" s="319"/>
      <c r="H1" s="319"/>
      <c r="I1" s="319"/>
      <c r="J1" s="357"/>
    </row>
    <row r="2" spans="1:11" s="103" customFormat="1" ht="25.5" customHeight="1" x14ac:dyDescent="0.2">
      <c r="A2" s="232"/>
      <c r="B2" s="233" t="s">
        <v>335</v>
      </c>
      <c r="C2" s="234">
        <f>'Acct Goals - Medica'!C1</f>
        <v>0</v>
      </c>
      <c r="D2" s="235"/>
      <c r="E2" s="236" t="s">
        <v>336</v>
      </c>
      <c r="F2" s="237" t="str">
        <f>'Acct Goals - Medica'!C5</f>
        <v>Account</v>
      </c>
      <c r="G2" s="238"/>
      <c r="H2" s="233" t="s">
        <v>337</v>
      </c>
      <c r="I2" s="394" t="e">
        <f>'Acct Goals - Medica'!#REF!</f>
        <v>#REF!</v>
      </c>
      <c r="J2" s="319"/>
      <c r="K2" s="232"/>
    </row>
    <row r="3" spans="1:11" ht="25.5" customHeight="1" x14ac:dyDescent="0.2">
      <c r="B3" s="390" t="s">
        <v>338</v>
      </c>
      <c r="C3" s="319"/>
      <c r="D3" s="319"/>
      <c r="E3" s="319"/>
      <c r="F3" s="319"/>
      <c r="G3" s="319"/>
      <c r="H3" s="319"/>
      <c r="I3" s="319"/>
      <c r="J3" s="357"/>
    </row>
    <row r="4" spans="1:11" ht="14.25" customHeight="1" x14ac:dyDescent="0.2">
      <c r="B4" s="239" t="s">
        <v>339</v>
      </c>
      <c r="C4" s="240"/>
      <c r="D4" s="241"/>
      <c r="E4" s="242" t="s">
        <v>340</v>
      </c>
      <c r="F4" s="132"/>
      <c r="G4" s="239" t="s">
        <v>339</v>
      </c>
      <c r="H4" s="240"/>
      <c r="I4" s="241"/>
      <c r="J4" s="242" t="s">
        <v>340</v>
      </c>
    </row>
    <row r="5" spans="1:11" ht="14.25" customHeight="1" x14ac:dyDescent="0.2">
      <c r="B5" s="243" t="s">
        <v>341</v>
      </c>
      <c r="C5" s="244"/>
      <c r="D5" s="245"/>
      <c r="E5" s="197">
        <v>4</v>
      </c>
      <c r="G5" s="243" t="s">
        <v>342</v>
      </c>
      <c r="H5" s="244"/>
      <c r="I5" s="245"/>
      <c r="J5" s="197">
        <v>-1</v>
      </c>
    </row>
    <row r="6" spans="1:11" ht="14.25" customHeight="1" x14ac:dyDescent="0.2">
      <c r="B6" s="243" t="s">
        <v>343</v>
      </c>
      <c r="C6" s="244"/>
      <c r="D6" s="245"/>
      <c r="E6" s="197">
        <v>4</v>
      </c>
      <c r="G6" s="243" t="s">
        <v>344</v>
      </c>
      <c r="H6" s="244"/>
      <c r="I6" s="245"/>
      <c r="J6" s="197">
        <v>3</v>
      </c>
    </row>
    <row r="7" spans="1:11" ht="14.25" customHeight="1" x14ac:dyDescent="0.2">
      <c r="B7" s="243" t="s">
        <v>345</v>
      </c>
      <c r="C7" s="244"/>
      <c r="D7" s="245"/>
      <c r="E7" s="197">
        <v>5</v>
      </c>
      <c r="G7" s="243" t="s">
        <v>346</v>
      </c>
      <c r="H7" s="244"/>
      <c r="I7" s="245"/>
      <c r="J7" s="197">
        <v>2</v>
      </c>
    </row>
    <row r="8" spans="1:11" ht="14.25" customHeight="1" x14ac:dyDescent="0.2">
      <c r="B8" s="246" t="s">
        <v>347</v>
      </c>
      <c r="C8" s="247"/>
      <c r="D8" s="248"/>
      <c r="E8" s="249">
        <v>2</v>
      </c>
      <c r="G8" s="246" t="s">
        <v>348</v>
      </c>
      <c r="H8" s="247"/>
      <c r="I8" s="248"/>
      <c r="J8" s="249">
        <v>3</v>
      </c>
    </row>
    <row r="9" spans="1:11" ht="28.5" customHeight="1" x14ac:dyDescent="0.2">
      <c r="B9" s="250" t="s">
        <v>349</v>
      </c>
      <c r="C9" s="251"/>
      <c r="D9" s="395" t="s">
        <v>350</v>
      </c>
      <c r="E9" s="396"/>
      <c r="F9" s="396"/>
      <c r="G9" s="396"/>
      <c r="H9" s="396"/>
      <c r="I9" s="396"/>
      <c r="J9" s="397"/>
    </row>
    <row r="10" spans="1:11" ht="14.25" customHeight="1" x14ac:dyDescent="0.2">
      <c r="G10" s="231"/>
    </row>
    <row r="11" spans="1:11" ht="25.5" customHeight="1" x14ac:dyDescent="0.2">
      <c r="B11" s="390" t="s">
        <v>107</v>
      </c>
      <c r="C11" s="319"/>
      <c r="D11" s="319"/>
      <c r="E11" s="319"/>
      <c r="F11" s="319"/>
      <c r="G11" s="319"/>
      <c r="H11" s="319"/>
      <c r="I11" s="319"/>
      <c r="J11" s="357"/>
    </row>
    <row r="12" spans="1:11" ht="14.25" customHeight="1" x14ac:dyDescent="0.2">
      <c r="B12" s="146" t="s">
        <v>108</v>
      </c>
      <c r="C12" s="129"/>
      <c r="D12" s="130" t="s">
        <v>109</v>
      </c>
      <c r="E12" s="252"/>
      <c r="F12" s="132" t="s">
        <v>111</v>
      </c>
      <c r="G12" s="129" t="s">
        <v>112</v>
      </c>
      <c r="H12" s="130" t="s">
        <v>113</v>
      </c>
      <c r="I12" s="133"/>
      <c r="J12" s="133"/>
    </row>
    <row r="13" spans="1:11" ht="20.25" customHeight="1" x14ac:dyDescent="0.2">
      <c r="B13" s="392" t="s">
        <v>351</v>
      </c>
      <c r="C13" s="310"/>
      <c r="D13" s="363" t="s">
        <v>115</v>
      </c>
      <c r="E13" s="310"/>
      <c r="F13" s="137" t="s">
        <v>352</v>
      </c>
      <c r="G13" t="s">
        <v>353</v>
      </c>
      <c r="H13" s="393" t="s">
        <v>354</v>
      </c>
      <c r="I13" s="327"/>
      <c r="J13" s="327"/>
    </row>
    <row r="14" spans="1:11" ht="20.25" customHeight="1" x14ac:dyDescent="0.2">
      <c r="B14" s="392" t="s">
        <v>355</v>
      </c>
      <c r="C14" s="310"/>
      <c r="D14" s="363" t="s">
        <v>356</v>
      </c>
      <c r="E14" s="310"/>
      <c r="F14" s="137" t="s">
        <v>352</v>
      </c>
      <c r="G14" t="s">
        <v>304</v>
      </c>
      <c r="H14" s="393" t="s">
        <v>357</v>
      </c>
      <c r="I14" s="327"/>
      <c r="J14" s="327"/>
    </row>
    <row r="15" spans="1:11" ht="20.25" customHeight="1" x14ac:dyDescent="0.2">
      <c r="B15" s="392" t="s">
        <v>358</v>
      </c>
      <c r="C15" s="310"/>
      <c r="D15" s="363" t="s">
        <v>359</v>
      </c>
      <c r="E15" s="310"/>
      <c r="F15" s="137" t="s">
        <v>360</v>
      </c>
      <c r="G15" t="s">
        <v>360</v>
      </c>
      <c r="H15" s="393" t="s">
        <v>361</v>
      </c>
      <c r="I15" s="327"/>
      <c r="J15" s="327"/>
    </row>
    <row r="16" spans="1:11" ht="14.25" customHeight="1" x14ac:dyDescent="0.2">
      <c r="B16" s="392" t="s">
        <v>362</v>
      </c>
      <c r="C16" s="310"/>
      <c r="D16" s="363" t="s">
        <v>363</v>
      </c>
      <c r="E16" s="310"/>
      <c r="F16" s="137" t="s">
        <v>352</v>
      </c>
      <c r="G16" t="s">
        <v>360</v>
      </c>
      <c r="H16" s="393" t="s">
        <v>364</v>
      </c>
      <c r="I16" s="327"/>
      <c r="J16" s="327"/>
    </row>
    <row r="17" spans="1:10" ht="14.25" customHeight="1" x14ac:dyDescent="0.2">
      <c r="B17" s="392" t="s">
        <v>365</v>
      </c>
      <c r="C17" s="310"/>
      <c r="D17" s="363" t="s">
        <v>366</v>
      </c>
      <c r="E17" s="310"/>
      <c r="F17" s="137" t="s">
        <v>360</v>
      </c>
      <c r="G17" t="s">
        <v>360</v>
      </c>
      <c r="H17" s="393" t="s">
        <v>367</v>
      </c>
      <c r="I17" s="327"/>
      <c r="J17" s="327"/>
    </row>
    <row r="18" spans="1:10" ht="14.25" customHeight="1" x14ac:dyDescent="0.2">
      <c r="B18" s="392" t="s">
        <v>368</v>
      </c>
      <c r="C18" s="310"/>
      <c r="D18" s="363" t="s">
        <v>369</v>
      </c>
      <c r="E18" s="310"/>
      <c r="F18" s="137" t="s">
        <v>352</v>
      </c>
      <c r="G18" t="s">
        <v>360</v>
      </c>
      <c r="H18" s="393" t="s">
        <v>370</v>
      </c>
      <c r="I18" s="327"/>
      <c r="J18" s="327"/>
    </row>
    <row r="19" spans="1:10" ht="14.25" customHeight="1" x14ac:dyDescent="0.2">
      <c r="B19" s="392" t="s">
        <v>371</v>
      </c>
      <c r="C19" s="310"/>
      <c r="D19" s="363" t="s">
        <v>372</v>
      </c>
      <c r="E19" s="310"/>
      <c r="F19" s="137" t="s">
        <v>360</v>
      </c>
      <c r="G19" t="s">
        <v>360</v>
      </c>
      <c r="H19" s="393" t="s">
        <v>370</v>
      </c>
      <c r="I19" s="327"/>
      <c r="J19" s="327"/>
    </row>
    <row r="20" spans="1:10" ht="14.25" customHeight="1" x14ac:dyDescent="0.2">
      <c r="B20" s="392" t="s">
        <v>373</v>
      </c>
      <c r="C20" s="310"/>
      <c r="D20" s="363" t="s">
        <v>374</v>
      </c>
      <c r="E20" s="310"/>
      <c r="F20" s="137" t="s">
        <v>352</v>
      </c>
      <c r="G20" t="s">
        <v>360</v>
      </c>
      <c r="H20" s="393" t="s">
        <v>375</v>
      </c>
      <c r="I20" s="327"/>
      <c r="J20" s="327"/>
    </row>
    <row r="21" spans="1:10" ht="14.25" customHeight="1" x14ac:dyDescent="0.2">
      <c r="B21" s="392"/>
      <c r="C21" s="310"/>
      <c r="D21" s="363"/>
      <c r="E21" s="310"/>
      <c r="F21" s="137"/>
      <c r="H21" s="393"/>
      <c r="I21" s="327"/>
      <c r="J21" s="327"/>
    </row>
    <row r="22" spans="1:10" ht="14.25" customHeight="1" x14ac:dyDescent="0.2">
      <c r="B22" s="392"/>
      <c r="C22" s="310"/>
      <c r="D22" s="363"/>
      <c r="E22" s="310"/>
      <c r="F22" s="137"/>
      <c r="H22" s="393"/>
      <c r="I22" s="327"/>
      <c r="J22" s="327"/>
    </row>
    <row r="23" spans="1:10" ht="14.25" customHeight="1" x14ac:dyDescent="0.2">
      <c r="B23" s="392"/>
      <c r="C23" s="310"/>
      <c r="D23" s="363"/>
      <c r="E23" s="310"/>
      <c r="F23" s="137"/>
      <c r="H23" s="393"/>
      <c r="I23" s="327"/>
      <c r="J23" s="327"/>
    </row>
    <row r="24" spans="1:10" ht="25.5" customHeight="1" x14ac:dyDescent="0.2">
      <c r="A24" s="98">
        <v>8</v>
      </c>
      <c r="B24" s="390" t="s">
        <v>134</v>
      </c>
      <c r="C24" s="319"/>
      <c r="D24" s="319"/>
      <c r="E24" s="319"/>
      <c r="F24" s="319"/>
      <c r="G24" s="319"/>
      <c r="H24" s="319"/>
      <c r="I24" s="319"/>
      <c r="J24" s="357"/>
    </row>
    <row r="25" spans="1:10" ht="14.25" customHeight="1" x14ac:dyDescent="0.2">
      <c r="B25" s="139" t="s">
        <v>135</v>
      </c>
      <c r="C25" s="129"/>
      <c r="D25" s="139" t="s">
        <v>136</v>
      </c>
      <c r="E25" s="140"/>
      <c r="F25" s="140"/>
      <c r="G25" s="140"/>
      <c r="H25" s="141"/>
      <c r="I25" s="142"/>
      <c r="J25" s="252"/>
    </row>
    <row r="26" spans="1:10" ht="14.25" customHeight="1" x14ac:dyDescent="0.2">
      <c r="B26" s="363" t="s">
        <v>376</v>
      </c>
      <c r="C26" s="310"/>
      <c r="D26" s="317" t="s">
        <v>377</v>
      </c>
      <c r="E26" s="327"/>
      <c r="F26" s="327"/>
      <c r="G26" s="327"/>
      <c r="H26" s="327"/>
      <c r="I26" s="327"/>
      <c r="J26" s="310"/>
    </row>
    <row r="27" spans="1:10" ht="14.25" customHeight="1" x14ac:dyDescent="0.2">
      <c r="B27" s="363" t="s">
        <v>378</v>
      </c>
      <c r="C27" s="310"/>
      <c r="D27" s="317" t="s">
        <v>379</v>
      </c>
      <c r="E27" s="327"/>
      <c r="F27" s="327"/>
      <c r="G27" s="327"/>
      <c r="H27" s="327"/>
      <c r="I27" s="327"/>
      <c r="J27" s="310"/>
    </row>
    <row r="28" spans="1:10" ht="14.25" customHeight="1" x14ac:dyDescent="0.2">
      <c r="B28" s="363" t="s">
        <v>139</v>
      </c>
      <c r="C28" s="310"/>
      <c r="D28" s="317" t="s">
        <v>380</v>
      </c>
      <c r="E28" s="327"/>
      <c r="F28" s="327"/>
      <c r="G28" s="327"/>
      <c r="H28" s="327"/>
      <c r="I28" s="327"/>
      <c r="J28" s="310"/>
    </row>
    <row r="29" spans="1:10" ht="14.25" customHeight="1" x14ac:dyDescent="0.2">
      <c r="B29" s="363" t="s">
        <v>381</v>
      </c>
      <c r="C29" s="310"/>
      <c r="D29" s="317" t="s">
        <v>382</v>
      </c>
      <c r="E29" s="327"/>
      <c r="F29" s="327"/>
      <c r="G29" s="327"/>
      <c r="H29" s="327"/>
      <c r="I29" s="327"/>
      <c r="J29" s="310"/>
    </row>
    <row r="30" spans="1:10" ht="14.25" customHeight="1" x14ac:dyDescent="0.2">
      <c r="B30" s="363"/>
      <c r="C30" s="310"/>
      <c r="D30" s="317"/>
      <c r="E30" s="327"/>
      <c r="F30" s="327"/>
      <c r="G30" s="327"/>
      <c r="H30" s="327"/>
      <c r="I30" s="327"/>
      <c r="J30" s="310"/>
    </row>
    <row r="31" spans="1:10" ht="14.25" customHeight="1" x14ac:dyDescent="0.2">
      <c r="B31" s="363"/>
      <c r="C31" s="310"/>
      <c r="D31" s="317"/>
      <c r="E31" s="327"/>
      <c r="F31" s="327"/>
      <c r="G31" s="327"/>
      <c r="H31" s="327"/>
      <c r="I31" s="327"/>
      <c r="J31" s="310"/>
    </row>
    <row r="32" spans="1:10" ht="14.25" customHeight="1" x14ac:dyDescent="0.2">
      <c r="B32" s="363"/>
      <c r="C32" s="310"/>
      <c r="D32" s="317"/>
      <c r="E32" s="327"/>
      <c r="F32" s="327"/>
      <c r="G32" s="327"/>
      <c r="H32" s="327"/>
      <c r="I32" s="327"/>
      <c r="J32" s="310"/>
    </row>
    <row r="33" spans="1:11" ht="14.25" customHeight="1" x14ac:dyDescent="0.2">
      <c r="B33" s="383"/>
      <c r="C33" s="314"/>
      <c r="D33" s="329"/>
      <c r="E33" s="296"/>
      <c r="F33" s="296"/>
      <c r="G33" s="296"/>
      <c r="H33" s="296"/>
      <c r="I33" s="296"/>
      <c r="J33" s="314"/>
    </row>
    <row r="34" spans="1:11" ht="25.5" customHeight="1" x14ac:dyDescent="0.2">
      <c r="B34" s="369" t="s">
        <v>141</v>
      </c>
      <c r="C34" s="287"/>
      <c r="D34" s="287"/>
      <c r="E34" s="287"/>
      <c r="F34" s="287"/>
      <c r="G34" s="287"/>
      <c r="H34" s="287"/>
      <c r="I34" s="287"/>
      <c r="J34" s="343"/>
    </row>
    <row r="35" spans="1:11" s="152" customFormat="1" ht="12.75" customHeight="1" x14ac:dyDescent="0.2">
      <c r="A35" s="144"/>
      <c r="B35" s="254" t="s">
        <v>142</v>
      </c>
      <c r="C35" s="146" t="s">
        <v>143</v>
      </c>
      <c r="D35" s="147"/>
      <c r="E35" s="148" t="s">
        <v>144</v>
      </c>
      <c r="F35" s="148" t="s">
        <v>145</v>
      </c>
      <c r="G35" s="149" t="s">
        <v>146</v>
      </c>
      <c r="H35" s="150"/>
      <c r="I35" s="150"/>
      <c r="J35" s="147"/>
      <c r="K35" s="144"/>
    </row>
    <row r="36" spans="1:11" ht="30" customHeight="1" x14ac:dyDescent="0.2">
      <c r="B36" s="255" t="s">
        <v>147</v>
      </c>
      <c r="C36" s="317" t="s">
        <v>383</v>
      </c>
      <c r="D36" s="310"/>
      <c r="E36" s="155" t="s">
        <v>384</v>
      </c>
      <c r="F36" s="155" t="s">
        <v>385</v>
      </c>
      <c r="G36" s="317" t="s">
        <v>386</v>
      </c>
      <c r="H36" s="327"/>
      <c r="I36" s="327"/>
      <c r="J36" s="310"/>
    </row>
    <row r="37" spans="1:11" ht="14.25" customHeight="1" x14ac:dyDescent="0.2">
      <c r="B37" s="256" t="s">
        <v>149</v>
      </c>
      <c r="C37" s="317" t="s">
        <v>387</v>
      </c>
      <c r="D37" s="310"/>
      <c r="E37" s="155" t="s">
        <v>387</v>
      </c>
      <c r="F37" s="155" t="s">
        <v>388</v>
      </c>
      <c r="G37" s="317" t="s">
        <v>301</v>
      </c>
      <c r="H37" s="327"/>
      <c r="I37" s="327"/>
      <c r="J37" s="310"/>
    </row>
    <row r="38" spans="1:11" ht="14.25" customHeight="1" x14ac:dyDescent="0.2">
      <c r="B38" s="256" t="s">
        <v>152</v>
      </c>
      <c r="C38" s="317" t="s">
        <v>389</v>
      </c>
      <c r="D38" s="310"/>
      <c r="E38" s="155" t="s">
        <v>390</v>
      </c>
      <c r="F38" s="155" t="s">
        <v>391</v>
      </c>
      <c r="G38" s="317" t="s">
        <v>392</v>
      </c>
      <c r="H38" s="327"/>
      <c r="I38" s="327"/>
      <c r="J38" s="310"/>
    </row>
    <row r="39" spans="1:11" ht="14.25" customHeight="1" x14ac:dyDescent="0.2">
      <c r="B39" s="256" t="s">
        <v>155</v>
      </c>
      <c r="C39" s="317" t="s">
        <v>185</v>
      </c>
      <c r="D39" s="310"/>
      <c r="E39" s="155" t="s">
        <v>185</v>
      </c>
      <c r="F39" s="155" t="s">
        <v>360</v>
      </c>
      <c r="G39" s="317" t="s">
        <v>392</v>
      </c>
      <c r="H39" s="327"/>
      <c r="I39" s="327"/>
      <c r="J39" s="310"/>
    </row>
    <row r="40" spans="1:11" ht="14.25" customHeight="1" x14ac:dyDescent="0.2">
      <c r="B40" s="256" t="s">
        <v>158</v>
      </c>
      <c r="C40" s="317" t="s">
        <v>393</v>
      </c>
      <c r="D40" s="310"/>
      <c r="E40" s="155" t="s">
        <v>301</v>
      </c>
      <c r="F40" s="155"/>
      <c r="G40" s="317" t="s">
        <v>394</v>
      </c>
      <c r="H40" s="327"/>
      <c r="I40" s="327"/>
      <c r="J40" s="310"/>
    </row>
    <row r="41" spans="1:11" ht="14.25" customHeight="1" x14ac:dyDescent="0.2">
      <c r="B41" s="255" t="s">
        <v>161</v>
      </c>
      <c r="C41" s="317"/>
      <c r="D41" s="310"/>
      <c r="E41" s="155"/>
      <c r="F41" s="155"/>
      <c r="G41" s="317" t="s">
        <v>395</v>
      </c>
      <c r="H41" s="327"/>
      <c r="I41" s="327"/>
      <c r="J41" s="310"/>
    </row>
    <row r="42" spans="1:11" ht="24.75" customHeight="1" x14ac:dyDescent="0.2">
      <c r="B42" s="255" t="s">
        <v>163</v>
      </c>
      <c r="C42" s="317" t="s">
        <v>396</v>
      </c>
      <c r="D42" s="310"/>
      <c r="E42" s="155" t="s">
        <v>396</v>
      </c>
      <c r="F42" s="155" t="s">
        <v>360</v>
      </c>
      <c r="G42" s="317" t="s">
        <v>397</v>
      </c>
      <c r="H42" s="327"/>
      <c r="I42" s="327"/>
      <c r="J42" s="310"/>
    </row>
    <row r="43" spans="1:11" ht="14.25" customHeight="1" x14ac:dyDescent="0.2">
      <c r="B43" s="257" t="s">
        <v>164</v>
      </c>
      <c r="C43" s="329" t="s">
        <v>376</v>
      </c>
      <c r="D43" s="314"/>
      <c r="E43" s="158" t="s">
        <v>376</v>
      </c>
      <c r="F43" s="158" t="s">
        <v>391</v>
      </c>
      <c r="G43" s="329" t="s">
        <v>398</v>
      </c>
      <c r="H43" s="296"/>
      <c r="I43" s="296"/>
      <c r="J43" s="314"/>
    </row>
  </sheetData>
  <mergeCells count="72">
    <mergeCell ref="B11:J11"/>
    <mergeCell ref="D28:J28"/>
    <mergeCell ref="B16:C16"/>
    <mergeCell ref="D9:J9"/>
    <mergeCell ref="D19:E19"/>
    <mergeCell ref="D27:J27"/>
    <mergeCell ref="I2:J2"/>
    <mergeCell ref="C42:D42"/>
    <mergeCell ref="B22:C22"/>
    <mergeCell ref="B1:J1"/>
    <mergeCell ref="D22:E22"/>
    <mergeCell ref="D30:J30"/>
    <mergeCell ref="B31:C31"/>
    <mergeCell ref="B27:C27"/>
    <mergeCell ref="D33:J33"/>
    <mergeCell ref="H17:J17"/>
    <mergeCell ref="G41:J41"/>
    <mergeCell ref="D29:J29"/>
    <mergeCell ref="B18:C18"/>
    <mergeCell ref="D21:E21"/>
    <mergeCell ref="H16:J16"/>
    <mergeCell ref="B21:C21"/>
    <mergeCell ref="B13:C13"/>
    <mergeCell ref="H14:J14"/>
    <mergeCell ref="G39:J39"/>
    <mergeCell ref="B19:C19"/>
    <mergeCell ref="H23:J23"/>
    <mergeCell ref="B28:C28"/>
    <mergeCell ref="C36:D36"/>
    <mergeCell ref="G38:J38"/>
    <mergeCell ref="D18:E18"/>
    <mergeCell ref="D20:E20"/>
    <mergeCell ref="G43:J43"/>
    <mergeCell ref="B23:C23"/>
    <mergeCell ref="B14:C14"/>
    <mergeCell ref="C40:D40"/>
    <mergeCell ref="B17:C17"/>
    <mergeCell ref="D17:E17"/>
    <mergeCell ref="B24:J24"/>
    <mergeCell ref="G36:J36"/>
    <mergeCell ref="G42:J42"/>
    <mergeCell ref="H15:J15"/>
    <mergeCell ref="D31:J31"/>
    <mergeCell ref="D16:E16"/>
    <mergeCell ref="C43:D43"/>
    <mergeCell ref="B29:C29"/>
    <mergeCell ref="H18:J18"/>
    <mergeCell ref="G40:J40"/>
    <mergeCell ref="C39:D39"/>
    <mergeCell ref="H20:J20"/>
    <mergeCell ref="D32:J32"/>
    <mergeCell ref="B30:C30"/>
    <mergeCell ref="C41:D41"/>
    <mergeCell ref="B34:J34"/>
    <mergeCell ref="H22:J22"/>
    <mergeCell ref="D26:J26"/>
    <mergeCell ref="B3:J3"/>
    <mergeCell ref="B15:C15"/>
    <mergeCell ref="B33:C33"/>
    <mergeCell ref="C38:D38"/>
    <mergeCell ref="D15:E15"/>
    <mergeCell ref="B20:C20"/>
    <mergeCell ref="D23:E23"/>
    <mergeCell ref="C37:D37"/>
    <mergeCell ref="D14:E14"/>
    <mergeCell ref="B32:C32"/>
    <mergeCell ref="B26:C26"/>
    <mergeCell ref="H21:J21"/>
    <mergeCell ref="G37:J37"/>
    <mergeCell ref="D13:E13"/>
    <mergeCell ref="H13:J13"/>
    <mergeCell ref="H19:J19"/>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D973"/>
  </sheetPr>
  <dimension ref="A1:K145"/>
  <sheetViews>
    <sheetView zoomScaleNormal="100" workbookViewId="0">
      <pane ySplit="12" topLeftCell="A13" activePane="bottomLeft" state="frozen"/>
      <selection pane="bottomLeft" activeCell="O16" sqref="O16"/>
    </sheetView>
  </sheetViews>
  <sheetFormatPr baseColWidth="10" defaultColWidth="8.5" defaultRowHeight="14.25" customHeight="1" x14ac:dyDescent="0.2"/>
  <cols>
    <col min="1" max="1" width="2.33203125" style="98" customWidth="1"/>
    <col min="2" max="2" width="20.1640625" customWidth="1"/>
    <col min="3" max="3" width="19.6640625" customWidth="1"/>
    <col min="4" max="4" width="20.83203125" customWidth="1"/>
    <col min="5" max="5" width="19.6640625" customWidth="1"/>
    <col min="6" max="6" width="21.1640625" customWidth="1"/>
    <col min="7" max="7" width="19.6640625" customWidth="1"/>
    <col min="8" max="8" width="21.5" customWidth="1"/>
    <col min="9" max="10" width="19.6640625" customWidth="1"/>
    <col min="11" max="11" width="4.83203125" style="98" customWidth="1"/>
  </cols>
  <sheetData>
    <row r="1" spans="1:11" s="4" customFormat="1" ht="30.75" customHeight="1" x14ac:dyDescent="0.2">
      <c r="B1" s="234" t="s">
        <v>399</v>
      </c>
      <c r="C1" s="234" t="s">
        <v>400</v>
      </c>
      <c r="D1" s="7"/>
      <c r="E1" s="7"/>
    </row>
    <row r="2" spans="1:11" s="8" customFormat="1" ht="16.5" customHeight="1" x14ac:dyDescent="0.2">
      <c r="B2" s="9" t="s">
        <v>3</v>
      </c>
      <c r="C2" s="5" t="s">
        <v>401</v>
      </c>
      <c r="D2" s="7"/>
      <c r="E2" s="7"/>
      <c r="F2" s="4"/>
      <c r="G2" s="4"/>
      <c r="H2" s="4"/>
      <c r="I2" s="4"/>
      <c r="J2" s="4"/>
    </row>
    <row r="3" spans="1:11" s="8" customFormat="1" ht="8.25" customHeight="1" x14ac:dyDescent="0.2">
      <c r="B3" s="9"/>
      <c r="C3" s="5"/>
      <c r="D3" s="7"/>
      <c r="E3" s="7"/>
      <c r="F3" s="4"/>
      <c r="G3" s="4"/>
      <c r="H3" s="4"/>
      <c r="I3" s="4"/>
      <c r="J3" s="4"/>
    </row>
    <row r="4" spans="1:11" s="262" customFormat="1" ht="29.25" customHeight="1" x14ac:dyDescent="0.2">
      <c r="A4" s="258"/>
      <c r="B4" s="259" t="s">
        <v>402</v>
      </c>
      <c r="C4" s="260">
        <v>5000000</v>
      </c>
      <c r="D4" s="261" t="s">
        <v>403</v>
      </c>
      <c r="E4" s="260">
        <v>4567878</v>
      </c>
      <c r="F4" s="261" t="s">
        <v>404</v>
      </c>
      <c r="G4" s="260">
        <f>C4-E4</f>
        <v>432122</v>
      </c>
      <c r="H4" s="261" t="s">
        <v>405</v>
      </c>
      <c r="I4" s="398">
        <v>45958</v>
      </c>
      <c r="J4" s="397"/>
      <c r="K4" s="258"/>
    </row>
    <row r="5" spans="1:11" s="4" customFormat="1" ht="12" customHeight="1" x14ac:dyDescent="0.2">
      <c r="B5" s="263"/>
      <c r="C5" s="263"/>
      <c r="D5" s="263"/>
      <c r="E5" s="263"/>
    </row>
    <row r="6" spans="1:11" ht="25.5" customHeight="1" x14ac:dyDescent="0.2">
      <c r="B6" s="369" t="s">
        <v>86</v>
      </c>
      <c r="C6" s="287"/>
      <c r="D6" s="287"/>
      <c r="E6" s="287"/>
      <c r="F6" s="287"/>
      <c r="G6" s="287"/>
      <c r="H6" s="287"/>
      <c r="I6" s="287"/>
      <c r="J6" s="343"/>
    </row>
    <row r="7" spans="1:11" ht="14.25" customHeight="1" x14ac:dyDescent="0.2">
      <c r="B7" s="111" t="s">
        <v>87</v>
      </c>
      <c r="C7" s="105" t="s">
        <v>207</v>
      </c>
      <c r="D7" s="4"/>
      <c r="E7" s="106" t="s">
        <v>89</v>
      </c>
      <c r="F7" s="107" t="s">
        <v>406</v>
      </c>
      <c r="G7" s="4"/>
      <c r="H7" s="106" t="s">
        <v>91</v>
      </c>
      <c r="I7" s="107">
        <v>2700</v>
      </c>
      <c r="J7" s="112"/>
    </row>
    <row r="8" spans="1:11" ht="14.25" customHeight="1" x14ac:dyDescent="0.2">
      <c r="B8" s="114" t="s">
        <v>93</v>
      </c>
      <c r="C8" s="105" t="s">
        <v>407</v>
      </c>
      <c r="D8" s="4"/>
      <c r="E8" s="106" t="s">
        <v>95</v>
      </c>
      <c r="F8" s="107" t="s">
        <v>408</v>
      </c>
      <c r="G8" s="4"/>
      <c r="H8" s="111" t="s">
        <v>97</v>
      </c>
      <c r="I8" s="112" t="s">
        <v>409</v>
      </c>
      <c r="J8" s="112"/>
    </row>
    <row r="9" spans="1:11" ht="14.25" customHeight="1" x14ac:dyDescent="0.2">
      <c r="B9" s="106" t="s">
        <v>99</v>
      </c>
      <c r="C9" s="105" t="s">
        <v>410</v>
      </c>
      <c r="D9" s="4"/>
      <c r="E9" s="111" t="s">
        <v>101</v>
      </c>
      <c r="F9" s="112">
        <v>45483</v>
      </c>
      <c r="G9" s="4"/>
      <c r="H9" s="114" t="s">
        <v>102</v>
      </c>
      <c r="I9" s="107" t="s">
        <v>411</v>
      </c>
      <c r="J9" s="112"/>
    </row>
    <row r="10" spans="1:11" ht="14.25" customHeight="1" x14ac:dyDescent="0.2">
      <c r="B10" s="106" t="s">
        <v>249</v>
      </c>
      <c r="C10" s="264">
        <v>0</v>
      </c>
      <c r="D10" s="115"/>
      <c r="E10" s="111" t="s">
        <v>250</v>
      </c>
      <c r="F10" s="107">
        <v>8</v>
      </c>
      <c r="G10" s="115"/>
      <c r="H10" s="106" t="s">
        <v>251</v>
      </c>
      <c r="I10" s="206">
        <v>0.42</v>
      </c>
      <c r="J10" s="4"/>
    </row>
    <row r="11" spans="1:11" ht="14.25" customHeight="1" x14ac:dyDescent="0.2">
      <c r="B11" s="106" t="s">
        <v>103</v>
      </c>
      <c r="C11" s="107" t="s">
        <v>412</v>
      </c>
      <c r="D11" s="4"/>
      <c r="E11" s="115"/>
      <c r="F11" s="116"/>
      <c r="G11" s="4"/>
      <c r="H11" s="4"/>
      <c r="I11" s="4"/>
      <c r="J11" s="4"/>
    </row>
    <row r="12" spans="1:11" ht="10.5" customHeight="1" x14ac:dyDescent="0.2">
      <c r="B12" s="98"/>
      <c r="C12" s="119"/>
      <c r="D12" s="120"/>
      <c r="E12" s="120"/>
      <c r="F12" s="121"/>
      <c r="G12" s="98"/>
      <c r="H12" s="122"/>
      <c r="I12" s="119"/>
      <c r="J12" s="98"/>
    </row>
    <row r="13" spans="1:11" ht="25.5" customHeight="1" x14ac:dyDescent="0.2">
      <c r="B13" s="358" t="s">
        <v>413</v>
      </c>
      <c r="C13" s="327"/>
      <c r="D13" s="327"/>
      <c r="E13" s="327"/>
      <c r="F13" s="327"/>
      <c r="G13" s="327"/>
      <c r="H13" s="327"/>
      <c r="I13" s="327"/>
      <c r="J13" s="310"/>
    </row>
    <row r="14" spans="1:11" ht="14.25" customHeight="1" x14ac:dyDescent="0.2">
      <c r="B14" s="218" t="s">
        <v>414</v>
      </c>
      <c r="C14" s="130"/>
      <c r="D14" s="130"/>
      <c r="E14" s="130"/>
      <c r="F14" s="130" t="s">
        <v>282</v>
      </c>
      <c r="G14" s="208" t="s">
        <v>256</v>
      </c>
      <c r="H14" s="208"/>
      <c r="I14" s="208"/>
      <c r="J14" s="133" t="s">
        <v>415</v>
      </c>
    </row>
    <row r="15" spans="1:11" ht="14.25" customHeight="1" x14ac:dyDescent="0.2">
      <c r="B15" s="265" t="s">
        <v>416</v>
      </c>
      <c r="F15" s="230" t="s">
        <v>417</v>
      </c>
      <c r="G15" s="231" t="s">
        <v>418</v>
      </c>
      <c r="H15" s="266"/>
      <c r="I15" s="267"/>
      <c r="J15" s="231"/>
    </row>
    <row r="16" spans="1:11" ht="14.25" customHeight="1" x14ac:dyDescent="0.2">
      <c r="B16" s="265" t="s">
        <v>419</v>
      </c>
      <c r="E16" s="202"/>
      <c r="F16" s="230" t="s">
        <v>417</v>
      </c>
      <c r="G16" s="231" t="s">
        <v>420</v>
      </c>
      <c r="J16" s="231"/>
    </row>
    <row r="17" spans="2:10" ht="14.25" customHeight="1" x14ac:dyDescent="0.2">
      <c r="B17" s="265" t="s">
        <v>421</v>
      </c>
      <c r="E17" s="202"/>
      <c r="F17" s="230" t="s">
        <v>261</v>
      </c>
      <c r="G17" s="231"/>
      <c r="J17" s="231" t="s">
        <v>422</v>
      </c>
    </row>
    <row r="18" spans="2:10" ht="14.25" customHeight="1" x14ac:dyDescent="0.2">
      <c r="B18" s="265" t="s">
        <v>423</v>
      </c>
      <c r="E18" s="202"/>
      <c r="F18" s="230" t="s">
        <v>424</v>
      </c>
      <c r="G18" s="231" t="s">
        <v>425</v>
      </c>
      <c r="J18" s="231"/>
    </row>
    <row r="19" spans="2:10" ht="14.25" customHeight="1" x14ac:dyDescent="0.2">
      <c r="B19" s="265" t="s">
        <v>426</v>
      </c>
      <c r="C19" s="268"/>
      <c r="D19" s="268"/>
      <c r="E19" s="202"/>
      <c r="F19" s="230" t="s">
        <v>258</v>
      </c>
      <c r="G19" s="231" t="s">
        <v>427</v>
      </c>
      <c r="J19" s="231"/>
    </row>
    <row r="20" spans="2:10" ht="14.25" customHeight="1" x14ac:dyDescent="0.2">
      <c r="B20" s="269" t="s">
        <v>428</v>
      </c>
      <c r="C20" s="268"/>
      <c r="D20" s="268"/>
      <c r="E20" s="202"/>
      <c r="F20" s="230"/>
      <c r="G20" s="231"/>
      <c r="J20" s="231"/>
    </row>
    <row r="21" spans="2:10" ht="14.25" customHeight="1" x14ac:dyDescent="0.2">
      <c r="B21" s="270" t="s">
        <v>429</v>
      </c>
      <c r="C21" s="268"/>
      <c r="D21" s="268"/>
      <c r="E21" s="202"/>
      <c r="F21" s="230"/>
      <c r="G21" s="231"/>
      <c r="J21" s="231"/>
    </row>
    <row r="22" spans="2:10" ht="14.25" customHeight="1" x14ac:dyDescent="0.2">
      <c r="B22" s="270" t="s">
        <v>430</v>
      </c>
      <c r="C22" s="268"/>
      <c r="D22" s="268"/>
      <c r="E22" s="202"/>
      <c r="F22" s="230"/>
      <c r="G22" s="231"/>
      <c r="J22" s="231"/>
    </row>
    <row r="23" spans="2:10" ht="14.25" customHeight="1" x14ac:dyDescent="0.2">
      <c r="B23" s="270" t="s">
        <v>431</v>
      </c>
      <c r="C23" s="268"/>
      <c r="D23" s="268"/>
      <c r="E23" s="202"/>
      <c r="F23" s="230"/>
      <c r="G23" s="231"/>
      <c r="J23" s="231"/>
    </row>
    <row r="24" spans="2:10" ht="14.25" customHeight="1" x14ac:dyDescent="0.2">
      <c r="B24" s="270" t="s">
        <v>432</v>
      </c>
      <c r="C24" s="268"/>
      <c r="D24" s="268"/>
      <c r="E24" s="202"/>
      <c r="F24" s="230"/>
      <c r="G24" s="231"/>
      <c r="J24" s="231"/>
    </row>
    <row r="25" spans="2:10" ht="14.25" customHeight="1" x14ac:dyDescent="0.2">
      <c r="B25" s="270" t="s">
        <v>433</v>
      </c>
      <c r="C25" s="268"/>
      <c r="D25" s="268"/>
      <c r="E25" s="202"/>
      <c r="F25" s="230"/>
      <c r="G25" s="231"/>
      <c r="J25" s="231"/>
    </row>
    <row r="26" spans="2:10" ht="14.25" customHeight="1" x14ac:dyDescent="0.2">
      <c r="B26" s="270" t="s">
        <v>434</v>
      </c>
      <c r="C26" s="268"/>
      <c r="D26" s="268"/>
      <c r="E26" s="202"/>
      <c r="F26" s="230"/>
      <c r="G26" s="231"/>
      <c r="J26" s="231"/>
    </row>
    <row r="27" spans="2:10" ht="14.25" customHeight="1" x14ac:dyDescent="0.2">
      <c r="B27" s="270" t="s">
        <v>435</v>
      </c>
      <c r="C27" s="268"/>
      <c r="D27" s="268"/>
      <c r="E27" s="202"/>
      <c r="F27" s="230"/>
      <c r="G27" s="231"/>
      <c r="J27" s="231"/>
    </row>
    <row r="28" spans="2:10" ht="14.25" customHeight="1" x14ac:dyDescent="0.2">
      <c r="B28" s="270" t="s">
        <v>436</v>
      </c>
      <c r="C28" s="268"/>
      <c r="D28" s="268"/>
      <c r="E28" s="202"/>
      <c r="F28" s="230"/>
      <c r="G28" s="231"/>
      <c r="J28" s="231"/>
    </row>
    <row r="29" spans="2:10" ht="14.25" customHeight="1" x14ac:dyDescent="0.2">
      <c r="B29" s="270" t="s">
        <v>279</v>
      </c>
      <c r="C29" s="268"/>
      <c r="D29" s="268"/>
      <c r="E29" s="202"/>
      <c r="F29" s="230"/>
      <c r="G29" s="231"/>
      <c r="J29" s="231"/>
    </row>
    <row r="30" spans="2:10" ht="14.25" customHeight="1" x14ac:dyDescent="0.2">
      <c r="B30" s="268"/>
      <c r="C30" s="268"/>
      <c r="D30" s="268"/>
      <c r="E30" s="202"/>
      <c r="F30" s="271"/>
      <c r="G30" s="169"/>
      <c r="J30" s="169"/>
    </row>
    <row r="31" spans="2:10" ht="25.5" customHeight="1" x14ac:dyDescent="0.2">
      <c r="B31" s="369" t="s">
        <v>280</v>
      </c>
      <c r="C31" s="287"/>
      <c r="D31" s="287"/>
      <c r="E31" s="287"/>
      <c r="F31" s="287"/>
      <c r="G31" s="287"/>
      <c r="H31" s="287"/>
      <c r="I31" s="287"/>
      <c r="J31" s="343"/>
    </row>
    <row r="32" spans="2:10" ht="14.25" customHeight="1" x14ac:dyDescent="0.2">
      <c r="B32" s="218" t="s">
        <v>281</v>
      </c>
      <c r="C32" s="130"/>
      <c r="D32" s="130"/>
      <c r="E32" s="130"/>
      <c r="F32" s="132" t="s">
        <v>111</v>
      </c>
      <c r="G32" s="208" t="s">
        <v>256</v>
      </c>
      <c r="H32" s="208"/>
      <c r="I32" s="208"/>
      <c r="J32" s="133" t="s">
        <v>437</v>
      </c>
    </row>
    <row r="33" spans="2:10" ht="25.5" customHeight="1" x14ac:dyDescent="0.2">
      <c r="B33" t="s">
        <v>438</v>
      </c>
      <c r="F33" s="230" t="s">
        <v>258</v>
      </c>
      <c r="G33" s="325" t="s">
        <v>439</v>
      </c>
      <c r="H33" s="327"/>
      <c r="I33" s="310"/>
      <c r="J33" s="272">
        <v>46022</v>
      </c>
    </row>
    <row r="34" spans="2:10" ht="14.25" customHeight="1" x14ac:dyDescent="0.2">
      <c r="B34" t="s">
        <v>440</v>
      </c>
      <c r="E34" s="202"/>
      <c r="F34" s="230" t="s">
        <v>258</v>
      </c>
      <c r="G34" s="231" t="s">
        <v>441</v>
      </c>
      <c r="J34" s="272">
        <v>46022</v>
      </c>
    </row>
    <row r="35" spans="2:10" ht="14.25" customHeight="1" x14ac:dyDescent="0.2">
      <c r="B35" t="s">
        <v>442</v>
      </c>
      <c r="E35" s="202"/>
      <c r="F35" s="230" t="s">
        <v>258</v>
      </c>
      <c r="G35" s="231" t="s">
        <v>443</v>
      </c>
      <c r="J35" s="272">
        <v>45991</v>
      </c>
    </row>
    <row r="36" spans="2:10" s="98" customFormat="1" ht="14.25" customHeight="1" x14ac:dyDescent="0.2">
      <c r="B36" s="273" t="s">
        <v>428</v>
      </c>
      <c r="E36" s="202"/>
      <c r="F36" s="230"/>
      <c r="G36" s="231"/>
      <c r="J36" s="231"/>
    </row>
    <row r="37" spans="2:10" s="98" customFormat="1" ht="14.25" customHeight="1" x14ac:dyDescent="0.2">
      <c r="B37" s="273" t="s">
        <v>444</v>
      </c>
      <c r="E37" s="202"/>
      <c r="F37" s="230"/>
      <c r="G37" s="231"/>
      <c r="J37" s="231"/>
    </row>
    <row r="38" spans="2:10" s="98" customFormat="1" ht="14.25" customHeight="1" x14ac:dyDescent="0.2">
      <c r="B38" s="273" t="s">
        <v>445</v>
      </c>
      <c r="E38" s="202"/>
      <c r="F38" s="230"/>
      <c r="G38" s="231"/>
      <c r="J38" s="231"/>
    </row>
    <row r="39" spans="2:10" s="98" customFormat="1" ht="14.25" customHeight="1" x14ac:dyDescent="0.2">
      <c r="B39" s="273" t="s">
        <v>446</v>
      </c>
      <c r="E39" s="202"/>
      <c r="F39" s="230"/>
      <c r="G39" s="231"/>
      <c r="J39" s="231"/>
    </row>
    <row r="40" spans="2:10" s="98" customFormat="1" ht="14.25" customHeight="1" x14ac:dyDescent="0.2">
      <c r="B40" s="273" t="s">
        <v>447</v>
      </c>
      <c r="E40" s="202"/>
      <c r="F40" s="230"/>
      <c r="G40" s="231"/>
      <c r="J40" s="231"/>
    </row>
    <row r="41" spans="2:10" s="98" customFormat="1" ht="14.25" customHeight="1" x14ac:dyDescent="0.2">
      <c r="B41" s="273"/>
      <c r="E41" s="202"/>
      <c r="F41" s="202"/>
    </row>
    <row r="42" spans="2:10" s="98" customFormat="1" ht="25.5" customHeight="1" x14ac:dyDescent="0.2">
      <c r="B42" s="390" t="s">
        <v>165</v>
      </c>
      <c r="C42" s="319"/>
      <c r="D42" s="319"/>
      <c r="E42" s="319"/>
      <c r="F42" s="319"/>
      <c r="G42" s="319"/>
      <c r="H42" s="319"/>
      <c r="I42" s="319"/>
      <c r="J42" s="357"/>
    </row>
    <row r="43" spans="2:10" s="98" customFormat="1" ht="14.25" customHeight="1" x14ac:dyDescent="0.2">
      <c r="B43" s="185" t="s">
        <v>166</v>
      </c>
      <c r="C43" s="185" t="s">
        <v>167</v>
      </c>
      <c r="D43" s="185" t="s">
        <v>168</v>
      </c>
      <c r="E43" s="114"/>
      <c r="F43" s="185" t="s">
        <v>169</v>
      </c>
      <c r="G43" s="185" t="s">
        <v>170</v>
      </c>
      <c r="H43" s="185" t="s">
        <v>171</v>
      </c>
      <c r="I43" s="185"/>
      <c r="J43" s="133" t="s">
        <v>437</v>
      </c>
    </row>
    <row r="44" spans="2:10" s="98" customFormat="1" ht="14.25" customHeight="1" x14ac:dyDescent="0.2">
      <c r="B44" s="199" t="s">
        <v>173</v>
      </c>
      <c r="C44" s="98" t="s">
        <v>183</v>
      </c>
    </row>
    <row r="45" spans="2:10" s="98" customFormat="1" ht="14.25" customHeight="1" x14ac:dyDescent="0.2">
      <c r="B45" s="199" t="s">
        <v>174</v>
      </c>
      <c r="C45" s="98" t="s">
        <v>183</v>
      </c>
    </row>
    <row r="46" spans="2:10" s="98" customFormat="1" ht="14.25" customHeight="1" x14ac:dyDescent="0.2">
      <c r="B46" s="199" t="s">
        <v>180</v>
      </c>
      <c r="C46" s="98" t="s">
        <v>183</v>
      </c>
      <c r="H46" s="178" t="s">
        <v>448</v>
      </c>
    </row>
    <row r="47" spans="2:10" s="98" customFormat="1" ht="14.25" customHeight="1" x14ac:dyDescent="0.2">
      <c r="B47" s="199" t="s">
        <v>181</v>
      </c>
      <c r="C47" s="98" t="s">
        <v>183</v>
      </c>
    </row>
    <row r="48" spans="2:10" s="98" customFormat="1" ht="14.25" customHeight="1" x14ac:dyDescent="0.2">
      <c r="B48" s="199" t="s">
        <v>182</v>
      </c>
      <c r="C48" s="98" t="s">
        <v>195</v>
      </c>
      <c r="D48" s="98" t="s">
        <v>449</v>
      </c>
      <c r="F48" s="98" t="s">
        <v>304</v>
      </c>
      <c r="G48" s="98">
        <v>2</v>
      </c>
      <c r="H48" s="98" t="s">
        <v>450</v>
      </c>
    </row>
    <row r="49" spans="2:10" s="98" customFormat="1" ht="14.25" customHeight="1" x14ac:dyDescent="0.2">
      <c r="B49" s="199" t="s">
        <v>184</v>
      </c>
      <c r="C49" s="98" t="s">
        <v>183</v>
      </c>
    </row>
    <row r="50" spans="2:10" s="98" customFormat="1" ht="14.25" customHeight="1" x14ac:dyDescent="0.2">
      <c r="B50" s="199" t="s">
        <v>185</v>
      </c>
      <c r="C50" s="98" t="s">
        <v>183</v>
      </c>
    </row>
    <row r="52" spans="2:10" s="98" customFormat="1" ht="25.5" customHeight="1" x14ac:dyDescent="0.2">
      <c r="B52" s="390" t="s">
        <v>186</v>
      </c>
      <c r="C52" s="319"/>
      <c r="D52" s="319"/>
      <c r="E52" s="319"/>
      <c r="F52" s="319"/>
      <c r="G52" s="319"/>
      <c r="H52" s="319"/>
      <c r="I52" s="319"/>
      <c r="J52" s="357"/>
    </row>
    <row r="53" spans="2:10" s="98" customFormat="1" ht="14.25" customHeight="1" x14ac:dyDescent="0.2">
      <c r="B53" s="185" t="s">
        <v>316</v>
      </c>
      <c r="C53" s="185"/>
      <c r="D53" s="185" t="s">
        <v>188</v>
      </c>
      <c r="E53" s="185"/>
      <c r="F53" s="185" t="s">
        <v>189</v>
      </c>
      <c r="G53" s="185" t="s">
        <v>171</v>
      </c>
      <c r="H53" s="185"/>
      <c r="I53" s="185"/>
      <c r="J53" s="133" t="s">
        <v>437</v>
      </c>
    </row>
    <row r="54" spans="2:10" s="98" customFormat="1" ht="14.25" customHeight="1" x14ac:dyDescent="0.2">
      <c r="B54" s="199" t="s">
        <v>191</v>
      </c>
      <c r="D54" s="98" t="s">
        <v>195</v>
      </c>
      <c r="F54" s="98" t="s">
        <v>195</v>
      </c>
      <c r="G54" s="98" t="s">
        <v>451</v>
      </c>
      <c r="J54" s="266">
        <v>46053</v>
      </c>
    </row>
    <row r="55" spans="2:10" s="98" customFormat="1" ht="14.25" customHeight="1" x14ac:dyDescent="0.2">
      <c r="B55" s="199" t="s">
        <v>192</v>
      </c>
      <c r="D55" s="98" t="s">
        <v>195</v>
      </c>
      <c r="F55" s="98" t="s">
        <v>195</v>
      </c>
      <c r="G55" s="98" t="s">
        <v>452</v>
      </c>
      <c r="J55" s="266">
        <v>46053</v>
      </c>
    </row>
    <row r="56" spans="2:10" s="98" customFormat="1" ht="14.25" customHeight="1" x14ac:dyDescent="0.2">
      <c r="B56" s="199" t="s">
        <v>194</v>
      </c>
      <c r="D56" s="98" t="s">
        <v>195</v>
      </c>
      <c r="F56" s="98" t="s">
        <v>195</v>
      </c>
    </row>
    <row r="57" spans="2:10" s="98" customFormat="1" ht="14.25" customHeight="1" x14ac:dyDescent="0.2">
      <c r="B57" s="199" t="s">
        <v>164</v>
      </c>
      <c r="D57" s="98" t="s">
        <v>183</v>
      </c>
      <c r="F57" s="98" t="s">
        <v>195</v>
      </c>
      <c r="G57" s="98" t="s">
        <v>453</v>
      </c>
      <c r="J57" s="98" t="s">
        <v>454</v>
      </c>
    </row>
    <row r="58" spans="2:10" s="98" customFormat="1" ht="14.25" customHeight="1" x14ac:dyDescent="0.2">
      <c r="B58" s="199" t="s">
        <v>196</v>
      </c>
      <c r="D58" s="98" t="s">
        <v>195</v>
      </c>
      <c r="F58" s="98" t="s">
        <v>195</v>
      </c>
      <c r="G58" s="98" t="s">
        <v>455</v>
      </c>
    </row>
    <row r="59" spans="2:10" s="98" customFormat="1" ht="14.25" customHeight="1" x14ac:dyDescent="0.2">
      <c r="B59" s="199" t="s">
        <v>198</v>
      </c>
      <c r="D59" s="98" t="s">
        <v>292</v>
      </c>
      <c r="F59" s="98" t="s">
        <v>183</v>
      </c>
      <c r="G59" s="98" t="s">
        <v>456</v>
      </c>
      <c r="J59" s="266">
        <v>46053</v>
      </c>
    </row>
    <row r="60" spans="2:10" s="98" customFormat="1" ht="14.25" customHeight="1" x14ac:dyDescent="0.2">
      <c r="B60" s="199" t="s">
        <v>457</v>
      </c>
      <c r="D60" s="98" t="s">
        <v>292</v>
      </c>
      <c r="F60" s="98" t="s">
        <v>183</v>
      </c>
      <c r="G60" s="98" t="s">
        <v>456</v>
      </c>
      <c r="J60" s="266">
        <v>46053</v>
      </c>
    </row>
    <row r="61" spans="2:10" s="98" customFormat="1" ht="14.25" customHeight="1" x14ac:dyDescent="0.2">
      <c r="B61" s="199" t="s">
        <v>458</v>
      </c>
      <c r="D61" s="98" t="s">
        <v>292</v>
      </c>
      <c r="F61" s="98" t="s">
        <v>183</v>
      </c>
      <c r="G61" s="98" t="s">
        <v>456</v>
      </c>
      <c r="J61" s="266">
        <v>46053</v>
      </c>
    </row>
    <row r="63" spans="2:10" s="98" customFormat="1" ht="25.5" customHeight="1" x14ac:dyDescent="0.2">
      <c r="B63" s="390" t="s">
        <v>200</v>
      </c>
      <c r="C63" s="319"/>
      <c r="D63" s="319"/>
      <c r="E63" s="319"/>
      <c r="F63" s="319"/>
      <c r="G63" s="319"/>
      <c r="H63" s="319"/>
      <c r="I63" s="319"/>
      <c r="J63" s="357"/>
    </row>
    <row r="64" spans="2:10" s="98" customFormat="1" ht="14.25" customHeight="1" x14ac:dyDescent="0.2">
      <c r="B64" s="185" t="s">
        <v>201</v>
      </c>
      <c r="C64" s="185"/>
      <c r="D64" s="185"/>
      <c r="E64" s="185" t="s">
        <v>324</v>
      </c>
      <c r="F64" s="185"/>
      <c r="G64" s="185" t="s">
        <v>171</v>
      </c>
      <c r="H64" s="185"/>
      <c r="I64" s="185"/>
      <c r="J64" s="133" t="s">
        <v>437</v>
      </c>
    </row>
    <row r="65" spans="1:11" s="98" customFormat="1" ht="14.25" customHeight="1" x14ac:dyDescent="0.2">
      <c r="B65" s="366" t="s">
        <v>459</v>
      </c>
      <c r="C65" s="316"/>
      <c r="D65" s="316"/>
      <c r="E65" s="98" t="s">
        <v>454</v>
      </c>
      <c r="G65" s="98" t="s">
        <v>460</v>
      </c>
      <c r="J65" s="266">
        <v>45962</v>
      </c>
    </row>
    <row r="66" spans="1:11" s="98" customFormat="1" ht="14.25" customHeight="1" x14ac:dyDescent="0.2">
      <c r="B66" s="268" t="s">
        <v>461</v>
      </c>
      <c r="C66" s="225"/>
      <c r="D66" s="225"/>
      <c r="E66" s="98" t="s">
        <v>454</v>
      </c>
      <c r="G66" s="98" t="s">
        <v>462</v>
      </c>
      <c r="J66" s="266">
        <v>45962</v>
      </c>
    </row>
    <row r="67" spans="1:11" s="98" customFormat="1" ht="14.25" customHeight="1" x14ac:dyDescent="0.2">
      <c r="B67" s="366" t="s">
        <v>463</v>
      </c>
      <c r="C67" s="316"/>
      <c r="D67" s="316"/>
      <c r="E67" s="98" t="s">
        <v>454</v>
      </c>
      <c r="G67" s="98" t="s">
        <v>464</v>
      </c>
      <c r="J67" s="266">
        <v>46022</v>
      </c>
    </row>
    <row r="68" spans="1:11" s="98" customFormat="1" ht="14.25" customHeight="1" x14ac:dyDescent="0.2">
      <c r="B68" s="268" t="s">
        <v>465</v>
      </c>
      <c r="C68" s="268"/>
      <c r="D68" s="268"/>
      <c r="E68" s="98" t="s">
        <v>454</v>
      </c>
      <c r="G68" s="98" t="s">
        <v>466</v>
      </c>
      <c r="J68" s="266">
        <v>45976</v>
      </c>
    </row>
    <row r="69" spans="1:11" s="98" customFormat="1" ht="14.25" customHeight="1" x14ac:dyDescent="0.2">
      <c r="B69" s="371" t="s">
        <v>467</v>
      </c>
      <c r="C69" s="316"/>
      <c r="D69" s="316"/>
      <c r="E69" s="98" t="s">
        <v>454</v>
      </c>
      <c r="G69" s="98" t="s">
        <v>468</v>
      </c>
      <c r="J69" s="266">
        <v>46053</v>
      </c>
    </row>
    <row r="70" spans="1:11" s="98" customFormat="1" ht="14.25" customHeight="1" x14ac:dyDescent="0.2">
      <c r="B70" s="98" t="s">
        <v>469</v>
      </c>
      <c r="E70" s="98" t="s">
        <v>454</v>
      </c>
      <c r="G70" s="98" t="s">
        <v>470</v>
      </c>
      <c r="J70" s="266">
        <v>45992</v>
      </c>
    </row>
    <row r="73" spans="1:11" ht="25.5" customHeight="1" x14ac:dyDescent="0.2">
      <c r="B73" s="375" t="s">
        <v>204</v>
      </c>
      <c r="C73" s="319"/>
      <c r="D73" s="319"/>
      <c r="E73" s="319"/>
      <c r="F73" s="319"/>
      <c r="G73" s="319"/>
      <c r="H73" s="319"/>
      <c r="I73" s="319"/>
      <c r="J73" s="357"/>
    </row>
    <row r="74" spans="1:11" ht="14.25" customHeight="1" x14ac:dyDescent="0.2">
      <c r="B74" s="274" t="s">
        <v>205</v>
      </c>
      <c r="C74" s="274"/>
      <c r="D74" s="274"/>
      <c r="E74" s="274"/>
      <c r="F74" s="274"/>
      <c r="G74" s="274" t="s">
        <v>171</v>
      </c>
      <c r="H74" s="274"/>
      <c r="I74" s="274"/>
      <c r="J74" s="275" t="s">
        <v>206</v>
      </c>
    </row>
    <row r="75" spans="1:11" s="127" customFormat="1" ht="14.25" customHeight="1" x14ac:dyDescent="0.2">
      <c r="A75" s="124"/>
      <c r="B75" s="268" t="s">
        <v>471</v>
      </c>
      <c r="C75" s="194"/>
      <c r="D75" s="194"/>
      <c r="J75" s="195">
        <v>45520</v>
      </c>
      <c r="K75" s="124"/>
    </row>
    <row r="76" spans="1:11" s="127" customFormat="1" ht="14.25" customHeight="1" x14ac:dyDescent="0.2">
      <c r="A76" s="124"/>
      <c r="B76" s="193" t="s">
        <v>472</v>
      </c>
      <c r="C76" s="194"/>
      <c r="D76" s="194"/>
      <c r="J76" s="195">
        <v>45518</v>
      </c>
      <c r="K76" s="124"/>
    </row>
    <row r="77" spans="1:11" s="127" customFormat="1" ht="14.25" customHeight="1" x14ac:dyDescent="0.2">
      <c r="A77" s="124"/>
      <c r="B77" s="193" t="s">
        <v>473</v>
      </c>
      <c r="C77" s="194"/>
      <c r="D77" s="194"/>
      <c r="J77" s="195">
        <v>45601</v>
      </c>
      <c r="K77" s="124"/>
    </row>
    <row r="78" spans="1:11" s="127" customFormat="1" ht="14.25" customHeight="1" x14ac:dyDescent="0.2">
      <c r="A78" s="124"/>
      <c r="B78" s="193" t="s">
        <v>474</v>
      </c>
      <c r="C78" s="194"/>
      <c r="D78" s="194"/>
      <c r="J78" s="195">
        <v>45579</v>
      </c>
      <c r="K78" s="124"/>
    </row>
    <row r="79" spans="1:11" s="127" customFormat="1" ht="14.25" customHeight="1" x14ac:dyDescent="0.2">
      <c r="A79" s="124"/>
      <c r="B79" s="193" t="s">
        <v>475</v>
      </c>
      <c r="C79" s="194"/>
      <c r="D79" s="194"/>
      <c r="J79" s="195">
        <v>45566</v>
      </c>
      <c r="K79" s="124"/>
    </row>
    <row r="80" spans="1:11" s="127" customFormat="1" ht="14.25" customHeight="1" x14ac:dyDescent="0.2">
      <c r="A80" s="124"/>
      <c r="B80" s="193" t="s">
        <v>476</v>
      </c>
      <c r="C80" s="194"/>
      <c r="D80" s="194"/>
      <c r="J80" s="195">
        <v>45575</v>
      </c>
      <c r="K80" s="124"/>
    </row>
    <row r="81" spans="1:11" s="127" customFormat="1" ht="14.25" customHeight="1" x14ac:dyDescent="0.2">
      <c r="A81" s="124"/>
      <c r="B81" s="193" t="s">
        <v>477</v>
      </c>
      <c r="C81" s="194"/>
      <c r="D81" s="194"/>
      <c r="J81" s="195">
        <v>45579</v>
      </c>
      <c r="K81" s="124"/>
    </row>
    <row r="82" spans="1:11" s="127" customFormat="1" ht="14.25" customHeight="1" x14ac:dyDescent="0.2">
      <c r="A82" s="124"/>
      <c r="B82" s="193" t="s">
        <v>478</v>
      </c>
      <c r="C82" s="194"/>
      <c r="D82" s="194"/>
      <c r="J82" s="195">
        <v>45611</v>
      </c>
      <c r="K82" s="124"/>
    </row>
    <row r="83" spans="1:11" s="127" customFormat="1" ht="14.25" customHeight="1" x14ac:dyDescent="0.2">
      <c r="A83" s="124"/>
      <c r="B83" s="193" t="s">
        <v>479</v>
      </c>
      <c r="C83" s="194"/>
      <c r="D83" s="194"/>
      <c r="J83" s="195">
        <v>45611</v>
      </c>
      <c r="K83" s="124"/>
    </row>
    <row r="84" spans="1:11" s="127" customFormat="1" ht="14.25" customHeight="1" x14ac:dyDescent="0.2">
      <c r="A84" s="124"/>
      <c r="B84" s="193" t="s">
        <v>480</v>
      </c>
      <c r="C84" s="194"/>
      <c r="D84" s="194"/>
      <c r="J84" s="195">
        <v>45618</v>
      </c>
      <c r="K84" s="124"/>
    </row>
    <row r="85" spans="1:11" s="127" customFormat="1" ht="14.25" customHeight="1" x14ac:dyDescent="0.2">
      <c r="A85" s="124"/>
      <c r="B85" s="193" t="s">
        <v>481</v>
      </c>
      <c r="C85" s="194"/>
      <c r="D85" s="194"/>
      <c r="J85" s="195">
        <v>45604</v>
      </c>
      <c r="K85" s="124"/>
    </row>
    <row r="86" spans="1:11" s="127" customFormat="1" ht="14.25" customHeight="1" x14ac:dyDescent="0.2">
      <c r="A86" s="124"/>
      <c r="B86" s="193" t="s">
        <v>482</v>
      </c>
      <c r="C86" s="194"/>
      <c r="D86" s="194"/>
      <c r="J86" s="195">
        <v>45621</v>
      </c>
      <c r="K86" s="124"/>
    </row>
    <row r="87" spans="1:11" s="127" customFormat="1" ht="14.25" customHeight="1" x14ac:dyDescent="0.2">
      <c r="A87" s="124"/>
      <c r="B87" s="193" t="s">
        <v>483</v>
      </c>
      <c r="C87" s="194"/>
      <c r="D87" s="194"/>
      <c r="J87" s="195">
        <v>45667</v>
      </c>
      <c r="K87" s="124"/>
    </row>
    <row r="88" spans="1:11" s="127" customFormat="1" ht="14.25" customHeight="1" x14ac:dyDescent="0.2">
      <c r="A88" s="124"/>
      <c r="B88" s="193" t="s">
        <v>484</v>
      </c>
      <c r="C88" s="194"/>
      <c r="D88" s="194"/>
      <c r="J88" s="195">
        <v>46011</v>
      </c>
      <c r="K88" s="124"/>
    </row>
    <row r="89" spans="1:11" s="127" customFormat="1" ht="14.25" customHeight="1" x14ac:dyDescent="0.2">
      <c r="A89" s="124"/>
      <c r="B89" s="193" t="s">
        <v>485</v>
      </c>
      <c r="C89" s="194"/>
      <c r="D89" s="194"/>
      <c r="J89" s="195">
        <v>46011</v>
      </c>
      <c r="K89" s="124"/>
    </row>
    <row r="90" spans="1:11" s="127" customFormat="1" ht="14.25" customHeight="1" x14ac:dyDescent="0.2">
      <c r="A90" s="124"/>
      <c r="B90" s="193" t="s">
        <v>486</v>
      </c>
      <c r="C90" s="194"/>
      <c r="D90" s="194"/>
      <c r="J90" s="195">
        <v>45653</v>
      </c>
      <c r="K90" s="124"/>
    </row>
    <row r="91" spans="1:11" s="127" customFormat="1" ht="14.25" customHeight="1" x14ac:dyDescent="0.2">
      <c r="A91" s="124"/>
      <c r="B91" s="193" t="s">
        <v>487</v>
      </c>
      <c r="C91" s="193"/>
      <c r="D91" s="193"/>
      <c r="J91" s="195">
        <v>45686</v>
      </c>
      <c r="K91" s="124"/>
    </row>
    <row r="92" spans="1:11" s="127" customFormat="1" ht="14.25" customHeight="1" x14ac:dyDescent="0.2">
      <c r="A92" s="124"/>
      <c r="B92" s="193" t="s">
        <v>488</v>
      </c>
      <c r="C92" s="194"/>
      <c r="D92" s="194"/>
      <c r="J92" s="195">
        <v>45686</v>
      </c>
      <c r="K92" s="124"/>
    </row>
    <row r="93" spans="1:11" s="127" customFormat="1" ht="14.25" customHeight="1" x14ac:dyDescent="0.2">
      <c r="A93" s="124"/>
      <c r="B93" s="193" t="s">
        <v>489</v>
      </c>
      <c r="C93" s="194"/>
      <c r="D93" s="194"/>
      <c r="J93" s="195">
        <v>45685</v>
      </c>
      <c r="K93" s="124"/>
    </row>
    <row r="94" spans="1:11" s="127" customFormat="1" ht="14.25" customHeight="1" x14ac:dyDescent="0.2">
      <c r="A94" s="124"/>
      <c r="B94" s="193" t="s">
        <v>490</v>
      </c>
      <c r="C94" s="194"/>
      <c r="D94" s="194"/>
      <c r="J94" s="195">
        <v>45693</v>
      </c>
      <c r="K94" s="124"/>
    </row>
    <row r="95" spans="1:11" s="127" customFormat="1" ht="14.25" customHeight="1" x14ac:dyDescent="0.2">
      <c r="A95" s="124"/>
      <c r="B95" s="193" t="s">
        <v>491</v>
      </c>
      <c r="C95" s="194"/>
      <c r="D95" s="194"/>
      <c r="J95" s="195">
        <v>45693</v>
      </c>
      <c r="K95" s="124"/>
    </row>
    <row r="96" spans="1:11" s="127" customFormat="1" ht="14.25" customHeight="1" x14ac:dyDescent="0.2">
      <c r="A96" s="124"/>
      <c r="B96" s="193" t="s">
        <v>492</v>
      </c>
      <c r="C96" s="194"/>
      <c r="D96" s="194"/>
      <c r="J96" s="195">
        <v>45686</v>
      </c>
      <c r="K96" s="124"/>
    </row>
    <row r="97" spans="1:11" s="127" customFormat="1" ht="14.25" customHeight="1" x14ac:dyDescent="0.2">
      <c r="A97" s="124"/>
      <c r="B97" s="193" t="s">
        <v>493</v>
      </c>
      <c r="C97" s="194"/>
      <c r="D97" s="194"/>
      <c r="J97" s="195">
        <v>45688</v>
      </c>
      <c r="K97" s="124"/>
    </row>
    <row r="98" spans="1:11" s="127" customFormat="1" ht="14.25" customHeight="1" x14ac:dyDescent="0.2">
      <c r="A98" s="124"/>
      <c r="B98" s="193" t="s">
        <v>494</v>
      </c>
      <c r="C98" s="194"/>
      <c r="D98" s="194"/>
      <c r="J98" s="195">
        <v>45694</v>
      </c>
      <c r="K98" s="124"/>
    </row>
    <row r="99" spans="1:11" s="127" customFormat="1" ht="14.25" customHeight="1" x14ac:dyDescent="0.2">
      <c r="A99" s="124"/>
      <c r="B99" s="193" t="s">
        <v>495</v>
      </c>
      <c r="C99" s="194"/>
      <c r="D99" s="194"/>
      <c r="J99" s="195">
        <v>45686</v>
      </c>
      <c r="K99" s="124"/>
    </row>
    <row r="100" spans="1:11" s="127" customFormat="1" ht="14.25" customHeight="1" x14ac:dyDescent="0.2">
      <c r="A100" s="124"/>
      <c r="B100" s="193" t="s">
        <v>496</v>
      </c>
      <c r="C100" s="194"/>
      <c r="D100" s="194"/>
      <c r="J100" s="195">
        <v>45695</v>
      </c>
      <c r="K100" s="124"/>
    </row>
    <row r="101" spans="1:11" s="127" customFormat="1" ht="14.25" customHeight="1" x14ac:dyDescent="0.2">
      <c r="A101" s="124"/>
      <c r="B101" s="193" t="s">
        <v>497</v>
      </c>
      <c r="C101" s="194"/>
      <c r="D101" s="194"/>
      <c r="J101" s="195">
        <v>45777</v>
      </c>
      <c r="K101" s="124"/>
    </row>
    <row r="102" spans="1:11" s="127" customFormat="1" ht="14.25" customHeight="1" x14ac:dyDescent="0.2">
      <c r="A102" s="124"/>
      <c r="B102" s="193" t="s">
        <v>498</v>
      </c>
      <c r="C102" s="193"/>
      <c r="D102" s="193"/>
      <c r="J102" s="229">
        <v>45695</v>
      </c>
      <c r="K102" s="124"/>
    </row>
    <row r="103" spans="1:11" s="127" customFormat="1" ht="14.25" customHeight="1" x14ac:dyDescent="0.2">
      <c r="A103" s="124"/>
      <c r="B103" s="193" t="s">
        <v>499</v>
      </c>
      <c r="C103" s="194"/>
      <c r="D103" s="194"/>
      <c r="J103" s="195">
        <v>45748</v>
      </c>
      <c r="K103" s="124"/>
    </row>
    <row r="104" spans="1:11" s="127" customFormat="1" ht="14.25" customHeight="1" x14ac:dyDescent="0.2">
      <c r="A104" s="124"/>
      <c r="B104" s="193" t="s">
        <v>500</v>
      </c>
      <c r="C104" s="193"/>
      <c r="D104" s="193"/>
      <c r="J104" s="195">
        <v>45766</v>
      </c>
      <c r="K104" s="124"/>
    </row>
    <row r="105" spans="1:11" s="127" customFormat="1" ht="14.25" customHeight="1" x14ac:dyDescent="0.2">
      <c r="A105" s="124"/>
      <c r="B105" s="193" t="s">
        <v>501</v>
      </c>
      <c r="C105" s="194"/>
      <c r="D105" s="194"/>
      <c r="J105" s="195">
        <v>45703</v>
      </c>
      <c r="K105" s="124"/>
    </row>
    <row r="106" spans="1:11" s="98" customFormat="1" ht="14.25" customHeight="1" x14ac:dyDescent="0.2">
      <c r="E106" s="202"/>
      <c r="F106" s="230"/>
      <c r="G106" s="231"/>
      <c r="J106" s="231"/>
    </row>
    <row r="145" spans="2:2" ht="15.75" customHeight="1" x14ac:dyDescent="0.2">
      <c r="B145" s="196"/>
    </row>
  </sheetData>
  <mergeCells count="12">
    <mergeCell ref="I4:J4"/>
    <mergeCell ref="B67:D67"/>
    <mergeCell ref="B42:J42"/>
    <mergeCell ref="B31:J31"/>
    <mergeCell ref="B63:J63"/>
    <mergeCell ref="B6:J6"/>
    <mergeCell ref="B65:D65"/>
    <mergeCell ref="B73:J73"/>
    <mergeCell ref="B13:J13"/>
    <mergeCell ref="B52:J52"/>
    <mergeCell ref="G33:I33"/>
    <mergeCell ref="B69:D69"/>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D973"/>
  </sheetPr>
  <dimension ref="A1:K40"/>
  <sheetViews>
    <sheetView zoomScaleNormal="100" workbookViewId="0">
      <pane ySplit="2" topLeftCell="A3" activePane="bottomLeft" state="frozen"/>
      <selection pane="bottomLeft" activeCell="A107" sqref="A107"/>
    </sheetView>
  </sheetViews>
  <sheetFormatPr baseColWidth="10" defaultColWidth="8.5" defaultRowHeight="14.25" customHeight="1" x14ac:dyDescent="0.2"/>
  <cols>
    <col min="1" max="1" width="2.33203125" style="98" customWidth="1"/>
    <col min="2" max="2" width="16.5" customWidth="1"/>
    <col min="3" max="3" width="22.5" customWidth="1"/>
    <col min="4" max="4" width="20" customWidth="1"/>
    <col min="5" max="7" width="19.6640625" customWidth="1"/>
    <col min="8" max="8" width="21.5" customWidth="1"/>
    <col min="9" max="10" width="19.6640625" customWidth="1"/>
    <col min="11" max="11" width="4.83203125" style="98" customWidth="1"/>
  </cols>
  <sheetData>
    <row r="1" spans="1:11" ht="25.5" customHeight="1" x14ac:dyDescent="0.2">
      <c r="B1" s="390" t="s">
        <v>86</v>
      </c>
      <c r="C1" s="319"/>
      <c r="D1" s="319"/>
      <c r="E1" s="319"/>
      <c r="F1" s="319"/>
      <c r="G1" s="319"/>
      <c r="H1" s="319"/>
      <c r="I1" s="319"/>
      <c r="J1" s="357"/>
    </row>
    <row r="2" spans="1:11" s="103" customFormat="1" ht="25.5" customHeight="1" x14ac:dyDescent="0.2">
      <c r="A2" s="232"/>
      <c r="B2" s="233" t="s">
        <v>335</v>
      </c>
      <c r="C2" s="276" t="str">
        <f>'Acct Goals  - Sample'!C1</f>
        <v>&lt;ACCOUNT NAME&gt;</v>
      </c>
      <c r="D2" s="235"/>
      <c r="E2" s="236" t="s">
        <v>336</v>
      </c>
      <c r="F2" s="237" t="str">
        <f>'Acct Goals  - Sample'!C7</f>
        <v>Account</v>
      </c>
      <c r="G2" s="238"/>
      <c r="H2" s="233" t="s">
        <v>337</v>
      </c>
      <c r="I2" s="394">
        <f>'Acct Goals  - Sample'!I4</f>
        <v>45958</v>
      </c>
      <c r="J2" s="319"/>
      <c r="K2" s="232"/>
    </row>
    <row r="3" spans="1:11" ht="25.5" customHeight="1" x14ac:dyDescent="0.2">
      <c r="B3" s="390" t="s">
        <v>107</v>
      </c>
      <c r="C3" s="319"/>
      <c r="D3" s="319"/>
      <c r="E3" s="319"/>
      <c r="F3" s="319"/>
      <c r="G3" s="319"/>
      <c r="H3" s="319"/>
      <c r="I3" s="319"/>
      <c r="J3" s="357"/>
    </row>
    <row r="4" spans="1:11" ht="14.25" customHeight="1" x14ac:dyDescent="0.2">
      <c r="B4" s="146" t="s">
        <v>108</v>
      </c>
      <c r="C4" s="129"/>
      <c r="D4" s="130" t="s">
        <v>109</v>
      </c>
      <c r="E4" s="252"/>
      <c r="F4" s="132" t="s">
        <v>111</v>
      </c>
      <c r="G4" s="129" t="s">
        <v>112</v>
      </c>
      <c r="H4" s="130" t="s">
        <v>113</v>
      </c>
      <c r="I4" s="133"/>
      <c r="J4" s="133"/>
    </row>
    <row r="5" spans="1:11" ht="43.5" customHeight="1" x14ac:dyDescent="0.2">
      <c r="B5" s="277" t="s">
        <v>502</v>
      </c>
      <c r="D5" s="253" t="s">
        <v>115</v>
      </c>
      <c r="E5" s="137"/>
      <c r="F5" s="137"/>
      <c r="G5" s="155" t="s">
        <v>503</v>
      </c>
      <c r="H5" s="401" t="s">
        <v>504</v>
      </c>
      <c r="I5" s="327"/>
      <c r="J5" s="327"/>
    </row>
    <row r="6" spans="1:11" ht="36" customHeight="1" x14ac:dyDescent="0.2">
      <c r="B6" s="277" t="s">
        <v>505</v>
      </c>
      <c r="D6" s="253" t="s">
        <v>506</v>
      </c>
      <c r="E6" s="137"/>
      <c r="F6" s="137"/>
      <c r="G6" s="155" t="s">
        <v>503</v>
      </c>
      <c r="H6" s="399" t="s">
        <v>507</v>
      </c>
      <c r="I6" s="327"/>
      <c r="J6" s="327"/>
    </row>
    <row r="7" spans="1:11" ht="31.5" customHeight="1" x14ac:dyDescent="0.2">
      <c r="B7" s="277" t="s">
        <v>508</v>
      </c>
      <c r="D7" s="253" t="s">
        <v>509</v>
      </c>
      <c r="E7" s="137"/>
      <c r="F7" s="137"/>
      <c r="G7" s="155" t="s">
        <v>304</v>
      </c>
      <c r="H7" s="399" t="s">
        <v>510</v>
      </c>
      <c r="I7" s="327"/>
      <c r="J7" s="327"/>
    </row>
    <row r="8" spans="1:11" s="98" customFormat="1" ht="14.25" customHeight="1" x14ac:dyDescent="0.2">
      <c r="B8" s="277" t="s">
        <v>511</v>
      </c>
      <c r="D8" s="253" t="s">
        <v>512</v>
      </c>
      <c r="E8" s="137"/>
      <c r="F8" s="137"/>
      <c r="G8" s="155" t="s">
        <v>513</v>
      </c>
      <c r="H8" s="193" t="s">
        <v>514</v>
      </c>
    </row>
    <row r="9" spans="1:11" s="98" customFormat="1" ht="14.25" customHeight="1" x14ac:dyDescent="0.2">
      <c r="B9" s="277" t="s">
        <v>515</v>
      </c>
      <c r="D9" s="253" t="s">
        <v>516</v>
      </c>
      <c r="E9" s="278"/>
      <c r="F9" s="278"/>
      <c r="G9" s="155" t="s">
        <v>517</v>
      </c>
      <c r="H9" s="193" t="s">
        <v>518</v>
      </c>
    </row>
    <row r="10" spans="1:11" s="98" customFormat="1" ht="14.25" customHeight="1" x14ac:dyDescent="0.2">
      <c r="B10" s="277" t="s">
        <v>519</v>
      </c>
      <c r="D10" s="253" t="s">
        <v>520</v>
      </c>
      <c r="E10" s="278"/>
      <c r="F10" s="278"/>
      <c r="G10" s="155" t="s">
        <v>304</v>
      </c>
      <c r="H10" s="193" t="s">
        <v>521</v>
      </c>
    </row>
    <row r="11" spans="1:11" s="98" customFormat="1" ht="14.25" customHeight="1" x14ac:dyDescent="0.2">
      <c r="B11" s="277" t="s">
        <v>522</v>
      </c>
      <c r="D11" s="253" t="s">
        <v>523</v>
      </c>
      <c r="E11" s="278"/>
      <c r="F11" s="278"/>
      <c r="G11" s="155" t="s">
        <v>503</v>
      </c>
      <c r="H11" s="193" t="s">
        <v>524</v>
      </c>
    </row>
    <row r="12" spans="1:11" s="98" customFormat="1" ht="14.25" customHeight="1" x14ac:dyDescent="0.2">
      <c r="B12" s="277" t="s">
        <v>525</v>
      </c>
      <c r="D12" s="253" t="s">
        <v>526</v>
      </c>
      <c r="E12" s="278"/>
      <c r="F12" s="278"/>
      <c r="G12" s="155" t="s">
        <v>513</v>
      </c>
      <c r="H12" s="193" t="s">
        <v>527</v>
      </c>
    </row>
    <row r="13" spans="1:11" s="98" customFormat="1" ht="14.25" customHeight="1" x14ac:dyDescent="0.2">
      <c r="B13" s="277" t="s">
        <v>528</v>
      </c>
      <c r="D13" s="253" t="s">
        <v>529</v>
      </c>
      <c r="E13" s="278"/>
      <c r="F13" s="278"/>
      <c r="G13" s="155" t="s">
        <v>517</v>
      </c>
      <c r="H13" s="193" t="s">
        <v>530</v>
      </c>
    </row>
    <row r="14" spans="1:11" s="98" customFormat="1" ht="14.25" customHeight="1" x14ac:dyDescent="0.2">
      <c r="B14" s="277" t="s">
        <v>531</v>
      </c>
      <c r="D14" s="253" t="s">
        <v>532</v>
      </c>
      <c r="E14" s="278"/>
      <c r="F14" s="278"/>
      <c r="G14" s="155" t="s">
        <v>503</v>
      </c>
      <c r="H14" s="193" t="s">
        <v>533</v>
      </c>
    </row>
    <row r="15" spans="1:11" s="98" customFormat="1" ht="14.25" customHeight="1" x14ac:dyDescent="0.2">
      <c r="B15" s="277" t="s">
        <v>534</v>
      </c>
      <c r="D15" s="253" t="s">
        <v>535</v>
      </c>
      <c r="E15" s="278"/>
      <c r="F15" s="278"/>
      <c r="G15" s="155" t="s">
        <v>517</v>
      </c>
      <c r="H15" s="193" t="s">
        <v>536</v>
      </c>
    </row>
    <row r="16" spans="1:11" s="98" customFormat="1" ht="14.25" customHeight="1" x14ac:dyDescent="0.2">
      <c r="B16" s="277" t="s">
        <v>537</v>
      </c>
      <c r="D16" s="253" t="s">
        <v>538</v>
      </c>
      <c r="E16" s="278"/>
      <c r="F16" s="278"/>
      <c r="G16" s="155" t="s">
        <v>517</v>
      </c>
      <c r="H16" s="193" t="s">
        <v>539</v>
      </c>
    </row>
    <row r="17" spans="1:11" s="98" customFormat="1" ht="14.25" customHeight="1" x14ac:dyDescent="0.2">
      <c r="B17" s="277" t="s">
        <v>540</v>
      </c>
      <c r="D17" s="253" t="s">
        <v>541</v>
      </c>
      <c r="E17" s="137"/>
      <c r="F17" s="137"/>
      <c r="G17" s="155" t="s">
        <v>517</v>
      </c>
      <c r="H17" s="193" t="s">
        <v>542</v>
      </c>
    </row>
    <row r="18" spans="1:11" s="98" customFormat="1" ht="14.25" customHeight="1" x14ac:dyDescent="0.2">
      <c r="B18" s="268" t="s">
        <v>543</v>
      </c>
      <c r="D18" s="253" t="s">
        <v>544</v>
      </c>
      <c r="E18" s="137"/>
      <c r="F18" s="137"/>
      <c r="G18" s="155" t="s">
        <v>301</v>
      </c>
      <c r="H18" s="193" t="s">
        <v>545</v>
      </c>
    </row>
    <row r="19" spans="1:11" s="98" customFormat="1" ht="14.25" customHeight="1" x14ac:dyDescent="0.2">
      <c r="B19" s="268" t="s">
        <v>546</v>
      </c>
      <c r="D19" s="253" t="s">
        <v>547</v>
      </c>
      <c r="E19" s="137"/>
      <c r="F19" s="137"/>
      <c r="G19" s="155" t="s">
        <v>304</v>
      </c>
      <c r="H19" s="193" t="s">
        <v>548</v>
      </c>
    </row>
    <row r="20" spans="1:11" s="98" customFormat="1" ht="14.25" customHeight="1" x14ac:dyDescent="0.2">
      <c r="B20" s="169"/>
      <c r="C20" s="137"/>
      <c r="E20" s="137"/>
      <c r="F20" s="137"/>
      <c r="G20" s="158"/>
    </row>
    <row r="21" spans="1:11" s="98" customFormat="1" ht="25.5" customHeight="1" x14ac:dyDescent="0.2">
      <c r="B21" s="369" t="s">
        <v>134</v>
      </c>
      <c r="C21" s="287"/>
      <c r="D21" s="287"/>
      <c r="E21" s="287"/>
      <c r="F21" s="287"/>
      <c r="G21" s="287"/>
      <c r="H21" s="287"/>
      <c r="I21" s="287"/>
      <c r="J21" s="343"/>
    </row>
    <row r="22" spans="1:11" s="98" customFormat="1" ht="14.25" customHeight="1" x14ac:dyDescent="0.2">
      <c r="B22" s="279" t="s">
        <v>135</v>
      </c>
      <c r="C22" s="130" t="s">
        <v>136</v>
      </c>
      <c r="D22" s="106"/>
      <c r="E22" s="106"/>
      <c r="F22" s="106"/>
      <c r="G22" s="106"/>
      <c r="H22" s="130"/>
      <c r="I22" s="133"/>
      <c r="J22" s="133"/>
    </row>
    <row r="23" spans="1:11" s="98" customFormat="1" ht="14.25" customHeight="1" x14ac:dyDescent="0.2">
      <c r="B23" s="277" t="s">
        <v>549</v>
      </c>
      <c r="C23" s="267" t="s">
        <v>550</v>
      </c>
      <c r="E23" s="178"/>
      <c r="F23" s="178"/>
      <c r="G23" s="178"/>
      <c r="H23" s="178"/>
    </row>
    <row r="24" spans="1:11" ht="14.25" customHeight="1" x14ac:dyDescent="0.2">
      <c r="B24" s="277" t="s">
        <v>551</v>
      </c>
      <c r="C24" s="268" t="s">
        <v>552</v>
      </c>
      <c r="E24" s="225"/>
      <c r="F24" s="225"/>
      <c r="G24" s="225"/>
      <c r="H24" s="225"/>
    </row>
    <row r="25" spans="1:11" ht="14.25" customHeight="1" x14ac:dyDescent="0.2">
      <c r="B25" s="277" t="s">
        <v>553</v>
      </c>
      <c r="C25" s="280" t="s">
        <v>554</v>
      </c>
      <c r="E25" s="281"/>
      <c r="F25" s="281"/>
      <c r="G25" s="281"/>
      <c r="H25" s="281"/>
    </row>
    <row r="26" spans="1:11" ht="14.25" customHeight="1" x14ac:dyDescent="0.2">
      <c r="B26" s="277" t="s">
        <v>555</v>
      </c>
      <c r="C26" s="268" t="s">
        <v>556</v>
      </c>
      <c r="E26" s="225"/>
      <c r="F26" s="225"/>
      <c r="G26" s="225"/>
      <c r="H26" s="225"/>
    </row>
    <row r="27" spans="1:11" ht="14.25" customHeight="1" x14ac:dyDescent="0.2">
      <c r="B27" s="277" t="s">
        <v>557</v>
      </c>
      <c r="C27" s="268" t="s">
        <v>558</v>
      </c>
      <c r="E27" s="225"/>
      <c r="F27" s="225"/>
      <c r="G27" s="225"/>
      <c r="H27" s="225"/>
    </row>
    <row r="31" spans="1:11" ht="25.5" customHeight="1" x14ac:dyDescent="0.2">
      <c r="B31" s="369" t="s">
        <v>141</v>
      </c>
      <c r="C31" s="287"/>
      <c r="D31" s="287"/>
      <c r="E31" s="287"/>
      <c r="F31" s="287"/>
      <c r="G31" s="287"/>
      <c r="H31" s="287"/>
      <c r="I31" s="287"/>
      <c r="J31" s="343"/>
    </row>
    <row r="32" spans="1:11" s="152" customFormat="1" ht="12.75" customHeight="1" x14ac:dyDescent="0.2">
      <c r="A32" s="144"/>
      <c r="B32" s="282" t="s">
        <v>142</v>
      </c>
      <c r="C32" s="218" t="s">
        <v>143</v>
      </c>
      <c r="D32" s="283"/>
      <c r="E32" s="207" t="s">
        <v>144</v>
      </c>
      <c r="F32" s="207" t="s">
        <v>145</v>
      </c>
      <c r="G32" s="207" t="s">
        <v>171</v>
      </c>
      <c r="H32" s="283"/>
      <c r="I32" s="283"/>
      <c r="J32" s="283"/>
      <c r="K32" s="144"/>
    </row>
    <row r="33" spans="2:10" ht="14.25" customHeight="1" x14ac:dyDescent="0.2">
      <c r="B33" s="284" t="s">
        <v>147</v>
      </c>
      <c r="C33" t="s">
        <v>559</v>
      </c>
      <c r="E33" t="s">
        <v>182</v>
      </c>
      <c r="F33" t="s">
        <v>352</v>
      </c>
      <c r="G33" t="s">
        <v>560</v>
      </c>
    </row>
    <row r="34" spans="2:10" ht="14.25" customHeight="1" x14ac:dyDescent="0.2">
      <c r="B34" s="285" t="s">
        <v>149</v>
      </c>
    </row>
    <row r="35" spans="2:10" ht="14.25" customHeight="1" x14ac:dyDescent="0.2">
      <c r="B35" s="285" t="s">
        <v>152</v>
      </c>
    </row>
    <row r="36" spans="2:10" ht="14.25" customHeight="1" x14ac:dyDescent="0.2">
      <c r="B36" s="285" t="s">
        <v>155</v>
      </c>
    </row>
    <row r="37" spans="2:10" ht="14.25" customHeight="1" x14ac:dyDescent="0.2">
      <c r="B37" s="285" t="s">
        <v>158</v>
      </c>
      <c r="C37" t="s">
        <v>301</v>
      </c>
      <c r="G37" t="s">
        <v>561</v>
      </c>
    </row>
    <row r="38" spans="2:10" ht="14.25" customHeight="1" x14ac:dyDescent="0.2">
      <c r="B38" s="284" t="s">
        <v>161</v>
      </c>
      <c r="E38" t="s">
        <v>562</v>
      </c>
      <c r="F38" t="s">
        <v>563</v>
      </c>
      <c r="G38" t="s">
        <v>564</v>
      </c>
    </row>
    <row r="39" spans="2:10" ht="24.75" customHeight="1" x14ac:dyDescent="0.2">
      <c r="B39" s="284" t="s">
        <v>163</v>
      </c>
      <c r="C39" t="s">
        <v>565</v>
      </c>
      <c r="E39" t="s">
        <v>133</v>
      </c>
      <c r="F39" t="s">
        <v>352</v>
      </c>
      <c r="G39" s="400" t="s">
        <v>566</v>
      </c>
      <c r="H39" s="327"/>
      <c r="I39" s="327"/>
      <c r="J39" s="327"/>
    </row>
    <row r="40" spans="2:10" ht="14.25" customHeight="1" x14ac:dyDescent="0.2">
      <c r="B40" s="284" t="s">
        <v>164</v>
      </c>
      <c r="C40" t="s">
        <v>301</v>
      </c>
      <c r="E40" t="s">
        <v>301</v>
      </c>
      <c r="F40" t="s">
        <v>454</v>
      </c>
      <c r="G40" t="s">
        <v>567</v>
      </c>
    </row>
  </sheetData>
  <mergeCells count="9">
    <mergeCell ref="G39:J39"/>
    <mergeCell ref="I2:J2"/>
    <mergeCell ref="H5:J5"/>
    <mergeCell ref="B31:J31"/>
    <mergeCell ref="B1:J1"/>
    <mergeCell ref="H7:J7"/>
    <mergeCell ref="B21:J21"/>
    <mergeCell ref="H6:J6"/>
    <mergeCell ref="B3:J3"/>
  </mergeCells>
  <hyperlinks>
    <hyperlink ref="C23" r:id="rId1" xr:uid="{00000000-0004-0000-06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L31"/>
  <sheetViews>
    <sheetView topLeftCell="A9" zoomScaleNormal="100" workbookViewId="0">
      <selection activeCell="K24" sqref="K24"/>
    </sheetView>
  </sheetViews>
  <sheetFormatPr baseColWidth="10" defaultColWidth="11.33203125" defaultRowHeight="15.75" customHeight="1" x14ac:dyDescent="0.2"/>
  <cols>
    <col min="1" max="8" width="11.33203125" style="1" customWidth="1"/>
    <col min="9" max="9" width="11.83203125" style="1" customWidth="1"/>
    <col min="10" max="10" width="11.33203125" style="1" customWidth="1"/>
    <col min="11" max="16384" width="11.33203125" style="1"/>
  </cols>
  <sheetData>
    <row r="31" spans="12:12" ht="15.75" customHeight="1" x14ac:dyDescent="0.2">
      <c r="L31" s="1" t="s">
        <v>568</v>
      </c>
    </row>
  </sheetData>
  <pageMargins left="0.25" right="0.25"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Account GTM (Plan) Kubota</vt:lpstr>
      <vt:lpstr>Acct Info &amp; Act - Kubota</vt:lpstr>
      <vt:lpstr>Account 9 Box</vt:lpstr>
      <vt:lpstr>Acct Goals - Medica</vt:lpstr>
      <vt:lpstr>Acct Information - Medica</vt:lpstr>
      <vt:lpstr>Acct Goals  - Sample</vt:lpstr>
      <vt:lpstr>Acct Information - Sample</vt:lpstr>
      <vt:lpstr>Customer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Widicus</dc:creator>
  <cp:lastModifiedBy>David O'Hara</cp:lastModifiedBy>
  <cp:revision>1</cp:revision>
  <dcterms:created xsi:type="dcterms:W3CDTF">2025-10-24T21:59:14Z</dcterms:created>
  <dcterms:modified xsi:type="dcterms:W3CDTF">2026-03-12T18:52:07Z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0x01010023FDBEC71C02664983D0784E332864B0</vt:lpwstr>
  </property>
  <property fmtid="{D5CDD505-2E9C-101B-9397-08002B2CF9AE}" pid="3" name="MediaServiceImageTags">
    <vt:lpwstr/>
  </property>
</Properties>
</file>