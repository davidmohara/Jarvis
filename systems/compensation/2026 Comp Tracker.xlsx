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improving-my.sharepoint.com/personal/david_ohara_improving_com/Documents/IES/systems/compensation/"/>
    </mc:Choice>
  </mc:AlternateContent>
  <xr:revisionPtr revIDLastSave="162" documentId="11_DEF1EA21AFB58EC042CA4DA58E535AFA914832E6" xr6:coauthVersionLast="47" xr6:coauthVersionMax="47" xr10:uidLastSave="{C8AF535E-18EF-5847-871A-A2DDE9FD0A24}"/>
  <bookViews>
    <workbookView xWindow="0" yWindow="660" windowWidth="28240" windowHeight="17240" tabRatio="500" activeTab="1" xr2:uid="{00000000-000D-0000-FFFF-FFFF00000000}"/>
  </bookViews>
  <sheets>
    <sheet name="Dashboard" sheetId="1" r:id="rId1"/>
    <sheet name="Comp 1 - BoB" sheetId="2" r:id="rId2"/>
    <sheet name="Comp 2 - Region" sheetId="3" r:id="rId3"/>
    <sheet name="Comp 3 - Strategic" sheetId="4" r:id="rId4"/>
    <sheet name="Commissions" sheetId="5" r:id="rId5"/>
    <sheet name="Lead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C14" i="3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8" i="5" s="1"/>
  <c r="C9" i="1" s="1"/>
  <c r="D19" i="4"/>
  <c r="D17" i="4"/>
  <c r="D11" i="4"/>
  <c r="C13" i="3"/>
  <c r="N12" i="3"/>
  <c r="M12" i="3"/>
  <c r="L12" i="3"/>
  <c r="K12" i="3"/>
  <c r="J12" i="3"/>
  <c r="I12" i="3"/>
  <c r="G12" i="3"/>
  <c r="F12" i="3"/>
  <c r="N11" i="3"/>
  <c r="M11" i="3"/>
  <c r="L11" i="3"/>
  <c r="K11" i="3"/>
  <c r="J11" i="3"/>
  <c r="I11" i="3"/>
  <c r="H11" i="3"/>
  <c r="H12" i="3" s="1"/>
  <c r="G11" i="3"/>
  <c r="F11" i="3"/>
  <c r="E11" i="3"/>
  <c r="E12" i="3" s="1"/>
  <c r="D11" i="3"/>
  <c r="D12" i="3" s="1"/>
  <c r="C11" i="3"/>
  <c r="C12" i="3" s="1"/>
  <c r="O10" i="3"/>
  <c r="O9" i="3"/>
  <c r="C6" i="3"/>
  <c r="P34" i="2"/>
  <c r="E34" i="2"/>
  <c r="G34" i="2" s="1"/>
  <c r="I34" i="2" s="1"/>
  <c r="K34" i="2" s="1"/>
  <c r="M34" i="2" s="1"/>
  <c r="O34" i="2" s="1"/>
  <c r="D34" i="2"/>
  <c r="F34" i="2" s="1"/>
  <c r="H34" i="2" s="1"/>
  <c r="J34" i="2" s="1"/>
  <c r="L34" i="2" s="1"/>
  <c r="N34" i="2" s="1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P30" i="2"/>
  <c r="F25" i="2"/>
  <c r="H25" i="2" s="1"/>
  <c r="H38" i="2" s="1"/>
  <c r="C6" i="1" s="1"/>
  <c r="E25" i="2"/>
  <c r="D25" i="2"/>
  <c r="C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E18" i="1"/>
  <c r="D18" i="1"/>
  <c r="E17" i="1"/>
  <c r="D17" i="1"/>
  <c r="D16" i="1"/>
  <c r="E15" i="1"/>
  <c r="C11" i="1"/>
  <c r="C8" i="1"/>
  <c r="G25" i="2" l="1"/>
  <c r="H39" i="2" s="1"/>
  <c r="O11" i="3"/>
  <c r="G18" i="3" s="1"/>
  <c r="C7" i="1" s="1"/>
  <c r="C10" i="1" s="1"/>
  <c r="O12" i="3"/>
  <c r="G17" i="3"/>
  <c r="E16" i="1" s="1"/>
  <c r="D13" i="3"/>
  <c r="D14" i="3" s="1"/>
  <c r="E13" i="3" l="1"/>
  <c r="E14" i="3" s="1"/>
  <c r="F13" i="3" l="1"/>
  <c r="F14" i="3" s="1"/>
  <c r="G13" i="3" l="1"/>
  <c r="G14" i="3" s="1"/>
  <c r="H13" i="3" l="1"/>
  <c r="H14" i="3" s="1"/>
  <c r="I13" i="3" l="1"/>
  <c r="I14" i="3" s="1"/>
  <c r="J13" i="3" l="1"/>
  <c r="J14" i="3" s="1"/>
  <c r="K13" i="3" l="1"/>
  <c r="K14" i="3" s="1"/>
  <c r="L13" i="3" l="1"/>
  <c r="L14" i="3" s="1"/>
  <c r="M13" i="3" l="1"/>
  <c r="M14" i="3" s="1"/>
  <c r="N13" i="3" l="1"/>
  <c r="N14" i="3" s="1"/>
  <c r="O13" i="3" l="1"/>
  <c r="O14" i="3" s="1"/>
</calcChain>
</file>

<file path=xl/sharedStrings.xml><?xml version="1.0" encoding="utf-8"?>
<sst xmlns="http://schemas.openxmlformats.org/spreadsheetml/2006/main" count="225" uniqueCount="170">
  <si>
    <t>2026 REGIONAL DIRECTOR COMPENSATION TRACKER</t>
  </si>
  <si>
    <t>One Texas – David O'Hara  |  Version 2.1  |  February 10, 2026</t>
  </si>
  <si>
    <t>COMPENSATION SUMMARY</t>
  </si>
  <si>
    <t>Base Salary</t>
  </si>
  <si>
    <t>Component 1: Book of Business Bonus</t>
  </si>
  <si>
    <t>Component 2: Regional Growth Bonus</t>
  </si>
  <si>
    <t>Component 3: Strategic Impact Bonus</t>
  </si>
  <si>
    <t>Commission Earnings (YTD)</t>
  </si>
  <si>
    <t>TOTAL COMPENSATION (YTD)</t>
  </si>
  <si>
    <t>On-Target Earnings (OTE)</t>
  </si>
  <si>
    <t>Base $180K + $100K Bonus OTE</t>
  </si>
  <si>
    <t>COMPONENT STATUS AT A GLANCE</t>
  </si>
  <si>
    <t>Component</t>
  </si>
  <si>
    <t>Target</t>
  </si>
  <si>
    <t>Actual YTD</t>
  </si>
  <si>
    <t>% to Target</t>
  </si>
  <si>
    <t>Status</t>
  </si>
  <si>
    <t>1: Book of Business Growth</t>
  </si>
  <si>
    <t>≥6% Growth @ 30% GM</t>
  </si>
  <si>
    <t>On Track</t>
  </si>
  <si>
    <t>2: Regional Growth</t>
  </si>
  <si>
    <t>3a: Strategic Partnerships/GMS</t>
  </si>
  <si>
    <t>$5,000 max</t>
  </si>
  <si>
    <t>3b: Exec Programs/Account Plans</t>
  </si>
  <si>
    <t>KEY ASSUMPTIONS &amp; THRESHOLDS</t>
  </si>
  <si>
    <t>Minimum 6% YoY growth required on EACH component for ANY bonus payout</t>
  </si>
  <si>
    <t>Minimum 30% Gross Margin required on revenue counted toward bonus</t>
  </si>
  <si>
    <t>Winnipeg revenue: EXCLUDED from One Texas (pending final confirmation)</t>
  </si>
  <si>
    <t>Canadian AT&amp;T revenue: EXCLUDED from One Texas</t>
  </si>
  <si>
    <t>Constellation separated from Kimberly accounts</t>
  </si>
  <si>
    <t>Focused Accounts Baseline: $14M  |  Total 2025 WD Revenue: $72.2M</t>
  </si>
  <si>
    <t>Yellow cells = user inputs  |  Blue text = editable  |  Green = cross-sheet links</t>
  </si>
  <si>
    <t>COMPONENT 1: BOOK OF BUSINESS — NAMED ACCOUNT GROWTH</t>
  </si>
  <si>
    <t>Threshold: 6% YoY Growth  |  30% Gross Margin Minimum  |  Up to 20 Named Accounts</t>
  </si>
  <si>
    <t>Named Account</t>
  </si>
  <si>
    <t>2024 Revenue</t>
  </si>
  <si>
    <t>2025 Revenue</t>
  </si>
  <si>
    <t>2026 Target</t>
  </si>
  <si>
    <t>2026 Actual YTD</t>
  </si>
  <si>
    <t>Gross Margin %</t>
  </si>
  <si>
    <t>YoY Growth %</t>
  </si>
  <si>
    <t>7-Eleven</t>
  </si>
  <si>
    <t>Charles Schwab &amp; Co</t>
  </si>
  <si>
    <t>McKesson Corporation</t>
  </si>
  <si>
    <t>Wendy's International, LLC</t>
  </si>
  <si>
    <t>Insperity Services, LP</t>
  </si>
  <si>
    <t>PriceSmart</t>
  </si>
  <si>
    <t>Autodesk, Inc</t>
  </si>
  <si>
    <t>Intuit, Inc</t>
  </si>
  <si>
    <t>Siemens Industry, Inc.</t>
  </si>
  <si>
    <t>ORIX Corporation USA</t>
  </si>
  <si>
    <t>AT&amp;T Services, Inc.</t>
  </si>
  <si>
    <t>Constellation Energy</t>
  </si>
  <si>
    <t>Marriott</t>
  </si>
  <si>
    <t>Kirby Corp</t>
  </si>
  <si>
    <t>Expedia</t>
  </si>
  <si>
    <t>Massimo</t>
  </si>
  <si>
    <t>CBRE</t>
  </si>
  <si>
    <t>Tenet</t>
  </si>
  <si>
    <t>Texas Instruments</t>
  </si>
  <si>
    <t>Builders First Source</t>
  </si>
  <si>
    <t>TOTALS</t>
  </si>
  <si>
    <t>MONTHLY REVENUE TRACKING — BOOK OF BUSINESS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</si>
  <si>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</si>
  <si>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</si>
  <si>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</si>
  <si>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</si>
  <si>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</si>
  <si>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</si>
  <si>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</si>
  <si>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</si>
  <si>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</si>
  <si>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</si>
  <si>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</si>
  <si>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</si>
  <si>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</si>
  <si>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</si>
  <si>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BoB Revenue</t>
  </si>
  <si>
    <t>BoB Cost</t>
  </si>
  <si>
    <t>BoB Gross Profit</t>
  </si>
  <si>
    <t>BoB Gross Margin %</t>
  </si>
  <si>
    <t>Cumulative Revenue</t>
  </si>
  <si>
    <t>Cumulative Growth %</t>
  </si>
  <si>
    <t>BONUS QUALIFICATION</t>
  </si>
  <si>
    <t>YoY BoB Growth %</t>
  </si>
  <si>
    <t>Weighted Avg GM %</t>
  </si>
  <si>
    <t>Bonus Earned (enter amount)</t>
  </si>
  <si>
    <t>Enter bonus per comp plan schedule</t>
  </si>
  <si>
    <t>COMPONENT 2: ONE TEXAS REGIONAL GROWTH</t>
  </si>
  <si>
    <t>Threshold: 6% YoY Growth  |  30% Gross Margin Minimum  |  Excludes Winnipeg &amp; Canadian AT&amp;T</t>
  </si>
  <si>
    <t>2025 One Texas Total Revenue</t>
  </si>
  <si>
    <t>2025 Focused Accounts Baseline</t>
  </si>
  <si>
    <t>6% Growth Target</t>
  </si>
  <si>
    <t>Regional Revenue</t>
  </si>
  <si>
    <t>Regional Cost</t>
  </si>
  <si>
    <t>Regional Gross Profit</t>
  </si>
  <si>
    <t>Regional GM %</t>
  </si>
  <si>
    <t>Cumulative Growth vs 2025</t>
  </si>
  <si>
    <t>Regional YoY Growth %</t>
  </si>
  <si>
    <t>Weighted Avg Regional GM %</t>
  </si>
  <si>
    <t>COMPONENT 3: STRATEGIC IMPACT BONUS</t>
  </si>
  <si>
    <t>OTE: $10,000 Total  |  $2,500–$5,000 per item based on size of impact</t>
  </si>
  <si>
    <t>ITEM 1: STRATEGIC PARTNERSHIPS / GMS UTILIZATION</t>
  </si>
  <si>
    <t>Initiative / Activity</t>
  </si>
  <si>
    <t>Date</t>
  </si>
  <si>
    <t>Impact / Revenue Influence</t>
  </si>
  <si>
    <t>Notes</t>
  </si>
  <si>
    <t>Impact Assessment (put in a sentence)</t>
  </si>
  <si>
    <t>$2,500 or $5,000 based on impact</t>
  </si>
  <si>
    <t>% to Max ($5,000)</t>
  </si>
  <si>
    <t>ITEM 2: EXECUTIVE PROGRAMS / ACCOUNT PLAN ELEVATION</t>
  </si>
  <si>
    <t>TOTAL COMPONENT 3 BONUS</t>
  </si>
  <si>
    <t>Max $10,000</t>
  </si>
  <si>
    <t>COMMISSION TRACKING</t>
  </si>
  <si>
    <t>Track commission-eligible deals and payouts</t>
  </si>
  <si>
    <t>Deal / Client</t>
  </si>
  <si>
    <t>Deal Value</t>
  </si>
  <si>
    <t>Commission Rate</t>
  </si>
  <si>
    <t>Commission Amt</t>
  </si>
  <si>
    <t>Date Closed</t>
  </si>
  <si>
    <t>TOTAL COMMISSIONS YTD</t>
  </si>
  <si>
    <t>LEADS PASSED</t>
  </si>
  <si>
    <t>Leads sourced and passed to sales team members</t>
  </si>
  <si>
    <t>Year</t>
  </si>
  <si>
    <t>Client</t>
  </si>
  <si>
    <t>Passed To</t>
  </si>
  <si>
    <t>Alcon</t>
  </si>
  <si>
    <t>---</t>
  </si>
  <si>
    <t>Rayburn Electric</t>
  </si>
  <si>
    <t>Alexander Powell</t>
  </si>
  <si>
    <t>Signapay</t>
  </si>
  <si>
    <t>Craig Fisher</t>
  </si>
  <si>
    <t>Valley Forge</t>
  </si>
  <si>
    <t>Rod Patane</t>
  </si>
  <si>
    <t>Bridgepointe</t>
  </si>
  <si>
    <t>Mark Miesner</t>
  </si>
  <si>
    <t>Sports South</t>
  </si>
  <si>
    <t>GTS Direct</t>
  </si>
  <si>
    <t>Overwatch Rescue</t>
  </si>
  <si>
    <t>DART</t>
  </si>
  <si>
    <t>Diana Stevens</t>
  </si>
  <si>
    <t>Bank of America</t>
  </si>
  <si>
    <t>Evestnet</t>
  </si>
  <si>
    <t>Loomis</t>
  </si>
  <si>
    <t>Vicki Kelly</t>
  </si>
  <si>
    <t>AECom</t>
  </si>
  <si>
    <t>Bryson Washington</t>
  </si>
  <si>
    <t>UMB</t>
  </si>
  <si>
    <t>JPMorgan</t>
  </si>
  <si>
    <t>Dallas College</t>
  </si>
  <si>
    <t>WDG</t>
  </si>
  <si>
    <t>BOK</t>
  </si>
  <si>
    <t>Capitalize Consulting</t>
  </si>
  <si>
    <t>VestMed</t>
  </si>
  <si>
    <t>Stephen Johnson</t>
  </si>
  <si>
    <t>Veritas Financial Services</t>
  </si>
  <si>
    <t>Integrated Financial Settlements</t>
  </si>
  <si>
    <t>Cardinal IT Solutions (Kashif)</t>
  </si>
  <si>
    <t>Steve Hall</t>
  </si>
  <si>
    <t>Derek Nwamadi</t>
  </si>
  <si>
    <t>Paragon Brokerage</t>
  </si>
  <si>
    <t>Me</t>
  </si>
  <si>
    <t>Kubota</t>
  </si>
  <si>
    <t>Nexben</t>
  </si>
  <si>
    <t>Specialty Capital</t>
  </si>
  <si>
    <t>Shalini Arora</t>
  </si>
  <si>
    <t>Birgo</t>
  </si>
  <si>
    <t>JSX</t>
  </si>
  <si>
    <t>THL</t>
  </si>
  <si>
    <t>Spring Line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</si>
</sst>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mm/dd/yyyy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1E2761"/>
      <name val="Arial"/>
      <family val="2"/>
    </font>
    <font>
      <b/>
      <sz val="12"/>
      <color rgb="FF1E276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1E2761"/>
      <name val="Arial"/>
      <family val="2"/>
    </font>
    <font>
      <b/>
      <sz val="10"/>
      <color rgb="FF000000"/>
      <name val="Arial"/>
      <family val="2"/>
    </font>
    <font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9"/>
      <color rgb="FF2C5F2D"/>
      <name val="Arial"/>
      <family val="2"/>
    </font>
    <font>
      <sz val="11"/>
      <color rgb="FF0000FF"/>
      <name val="Arial"/>
      <family val="2"/>
    </font>
    <font>
      <b/>
      <sz val="10"/>
      <color rgb="FF2C5F2D"/>
      <name val="Arial"/>
      <family val="2"/>
    </font>
    <font>
      <b/>
      <sz val="11"/>
      <color rgb="FF2C5F2D"/>
      <name val="Arial"/>
      <family val="2"/>
    </font>
    <font>
      <b/>
      <sz val="10"/>
      <name val="Arial"/>
      <family val="2"/>
    </font>
    <font>
      <i/>
      <sz val="9"/>
      <color rgb="FF065A82"/>
      <name val="Arial"/>
      <family val="2"/>
    </font>
    <font>
      <i/>
      <sz val="9"/>
      <color rgb="FFB85042"/>
      <name val="Arial"/>
      <family val="2"/>
    </font>
    <font>
      <b/>
      <sz val="11"/>
      <color rgb="FFB85042"/>
      <name val="Arial"/>
      <family val="2"/>
    </font>
    <font>
      <i/>
      <sz val="9"/>
      <color rgb="FF6D2E46"/>
      <name val="Arial"/>
      <family val="2"/>
    </font>
    <font>
      <b/>
      <sz val="11"/>
      <color rgb="FF6D2E46"/>
      <name val="Arial"/>
      <family val="2"/>
    </font>
    <font>
      <b/>
      <sz val="14"/>
      <color rgb="FFFFFFFF"/>
      <name val="Arial"/>
      <family val="2"/>
    </font>
    <font>
      <i/>
      <sz val="10"/>
      <color rgb="FF2C5F2D"/>
      <name val="Arial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CADCFC"/>
        <bgColor rgb="FFE3F2FD"/>
      </patternFill>
    </fill>
    <fill>
      <patternFill patternType="solid">
        <fgColor rgb="FFFFFF00"/>
        <bgColor rgb="FFFFFF00"/>
      </patternFill>
    </fill>
    <fill>
      <patternFill patternType="solid">
        <fgColor rgb="FF2C5F2D"/>
        <bgColor rgb="FF065A82"/>
      </patternFill>
    </fill>
    <fill>
      <patternFill patternType="solid">
        <fgColor rgb="FFE8F5E9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FFFFFF"/>
        <bgColor rgb="FFF2F2F2"/>
      </patternFill>
    </fill>
    <fill>
      <patternFill patternType="solid">
        <fgColor rgb="FF065A82"/>
        <bgColor rgb="FF008080"/>
      </patternFill>
    </fill>
    <fill>
      <patternFill patternType="solid">
        <fgColor rgb="FFE3F2FD"/>
        <bgColor rgb="FFE8F5E9"/>
      </patternFill>
    </fill>
    <fill>
      <patternFill patternType="solid">
        <fgColor rgb="FFB85042"/>
        <bgColor rgb="FF993300"/>
      </patternFill>
    </fill>
    <fill>
      <patternFill patternType="solid">
        <fgColor rgb="FFFBE9E7"/>
        <bgColor rgb="FFF8E8EE"/>
      </patternFill>
    </fill>
    <fill>
      <patternFill patternType="solid">
        <fgColor rgb="FF6D2E46"/>
        <bgColor rgb="FF993300"/>
      </patternFill>
    </fill>
    <fill>
      <patternFill patternType="solid">
        <fgColor rgb="FFF8E8EE"/>
        <bgColor rgb="FFFBE9E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E276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1" xfId="0" applyFont="1" applyBorder="1"/>
    <xf numFmtId="0" fontId="4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right" vertical="center"/>
    </xf>
    <xf numFmtId="0" fontId="0" fillId="0" borderId="2" xfId="0" applyBorder="1"/>
    <xf numFmtId="164" fontId="6" fillId="0" borderId="2" xfId="0" applyNumberFormat="1" applyFont="1" applyBorder="1" applyAlignment="1">
      <alignment horizontal="right" vertical="center"/>
    </xf>
    <xf numFmtId="0" fontId="7" fillId="3" borderId="2" xfId="0" applyFont="1" applyFill="1" applyBorder="1"/>
    <xf numFmtId="164" fontId="7" fillId="3" borderId="2" xfId="0" applyNumberFormat="1" applyFont="1" applyFill="1" applyBorder="1" applyAlignment="1">
      <alignment horizontal="right" vertical="center"/>
    </xf>
    <xf numFmtId="0" fontId="0" fillId="3" borderId="2" xfId="0" applyFill="1" applyBorder="1"/>
    <xf numFmtId="0" fontId="8" fillId="0" borderId="0" xfId="0" applyFont="1"/>
    <xf numFmtId="164" fontId="4" fillId="0" borderId="0" xfId="0" applyNumberFormat="1" applyFont="1" applyAlignment="1">
      <alignment horizontal="right" vertical="center"/>
    </xf>
    <xf numFmtId="0" fontId="9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12" fillId="4" borderId="2" xfId="0" applyNumberFormat="1" applyFont="1" applyFill="1" applyBorder="1" applyAlignment="1">
      <alignment horizontal="right"/>
    </xf>
    <xf numFmtId="164" fontId="5" fillId="4" borderId="2" xfId="0" applyNumberFormat="1" applyFont="1" applyFill="1" applyBorder="1"/>
    <xf numFmtId="164" fontId="5" fillId="0" borderId="2" xfId="0" applyNumberFormat="1" applyFont="1" applyBorder="1"/>
    <xf numFmtId="165" fontId="5" fillId="4" borderId="2" xfId="0" applyNumberFormat="1" applyFont="1" applyFill="1" applyBorder="1"/>
    <xf numFmtId="165" fontId="4" fillId="0" borderId="2" xfId="0" applyNumberFormat="1" applyFont="1" applyBorder="1"/>
    <xf numFmtId="0" fontId="5" fillId="7" borderId="2" xfId="0" applyFont="1" applyFill="1" applyBorder="1" applyAlignment="1">
      <alignment horizontal="left" vertical="center" wrapText="1"/>
    </xf>
    <xf numFmtId="164" fontId="12" fillId="7" borderId="2" xfId="0" applyNumberFormat="1" applyFont="1" applyFill="1" applyBorder="1" applyAlignment="1">
      <alignment horizontal="right"/>
    </xf>
    <xf numFmtId="164" fontId="5" fillId="7" borderId="2" xfId="0" applyNumberFormat="1" applyFont="1" applyFill="1" applyBorder="1"/>
    <xf numFmtId="165" fontId="5" fillId="7" borderId="2" xfId="0" applyNumberFormat="1" applyFont="1" applyFill="1" applyBorder="1"/>
    <xf numFmtId="165" fontId="4" fillId="7" borderId="2" xfId="0" applyNumberFormat="1" applyFont="1" applyFill="1" applyBorder="1"/>
    <xf numFmtId="164" fontId="12" fillId="8" borderId="2" xfId="0" applyNumberFormat="1" applyFont="1" applyFill="1" applyBorder="1" applyAlignment="1">
      <alignment horizontal="right"/>
    </xf>
    <xf numFmtId="164" fontId="5" fillId="8" borderId="2" xfId="0" applyNumberFormat="1" applyFont="1" applyFill="1" applyBorder="1"/>
    <xf numFmtId="0" fontId="13" fillId="6" borderId="2" xfId="0" applyFont="1" applyFill="1" applyBorder="1"/>
    <xf numFmtId="164" fontId="14" fillId="6" borderId="2" xfId="0" applyNumberFormat="1" applyFont="1" applyFill="1" applyBorder="1" applyAlignment="1">
      <alignment horizontal="right"/>
    </xf>
    <xf numFmtId="164" fontId="15" fillId="6" borderId="2" xfId="0" applyNumberFormat="1" applyFont="1" applyFill="1" applyBorder="1"/>
    <xf numFmtId="165" fontId="15" fillId="6" borderId="2" xfId="0" applyNumberFormat="1" applyFont="1" applyFill="1" applyBorder="1"/>
    <xf numFmtId="0" fontId="0" fillId="0" borderId="1" xfId="0" applyBorder="1"/>
    <xf numFmtId="0" fontId="8" fillId="0" borderId="2" xfId="0" applyFont="1" applyBorder="1"/>
    <xf numFmtId="0" fontId="5" fillId="4" borderId="2" xfId="0" applyFont="1" applyFill="1" applyBorder="1"/>
    <xf numFmtId="164" fontId="15" fillId="0" borderId="2" xfId="0" applyNumberFormat="1" applyFont="1" applyBorder="1"/>
    <xf numFmtId="164" fontId="4" fillId="8" borderId="2" xfId="0" applyNumberFormat="1" applyFont="1" applyFill="1" applyBorder="1"/>
    <xf numFmtId="165" fontId="4" fillId="8" borderId="2" xfId="0" applyNumberFormat="1" applyFont="1" applyFill="1" applyBorder="1"/>
    <xf numFmtId="165" fontId="15" fillId="0" borderId="2" xfId="0" applyNumberFormat="1" applyFont="1" applyBorder="1"/>
    <xf numFmtId="0" fontId="4" fillId="8" borderId="2" xfId="0" applyFont="1" applyFill="1" applyBorder="1"/>
    <xf numFmtId="0" fontId="15" fillId="0" borderId="2" xfId="0" applyFont="1" applyBorder="1"/>
    <xf numFmtId="164" fontId="5" fillId="4" borderId="0" xfId="0" applyNumberFormat="1" applyFont="1" applyFill="1"/>
    <xf numFmtId="0" fontId="4" fillId="0" borderId="0" xfId="0" applyFont="1"/>
    <xf numFmtId="164" fontId="4" fillId="0" borderId="0" xfId="0" applyNumberFormat="1" applyFont="1"/>
    <xf numFmtId="0" fontId="10" fillId="9" borderId="2" xfId="0" applyFont="1" applyFill="1" applyBorder="1" applyAlignment="1">
      <alignment horizontal="center" vertical="center" wrapText="1"/>
    </xf>
    <xf numFmtId="164" fontId="15" fillId="4" borderId="2" xfId="0" applyNumberFormat="1" applyFont="1" applyFill="1" applyBorder="1"/>
    <xf numFmtId="164" fontId="0" fillId="0" borderId="2" xfId="0" applyNumberFormat="1" applyBorder="1"/>
    <xf numFmtId="165" fontId="0" fillId="0" borderId="2" xfId="0" applyNumberFormat="1" applyBorder="1"/>
    <xf numFmtId="0" fontId="10" fillId="11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5" fontId="4" fillId="0" borderId="0" xfId="0" applyNumberFormat="1" applyFont="1"/>
    <xf numFmtId="0" fontId="18" fillId="12" borderId="2" xfId="0" applyFont="1" applyFill="1" applyBorder="1"/>
    <xf numFmtId="0" fontId="0" fillId="12" borderId="2" xfId="0" applyFill="1" applyBorder="1"/>
    <xf numFmtId="164" fontId="18" fillId="12" borderId="2" xfId="0" applyNumberFormat="1" applyFont="1" applyFill="1" applyBorder="1"/>
    <xf numFmtId="0" fontId="9" fillId="12" borderId="2" xfId="0" applyFont="1" applyFill="1" applyBorder="1"/>
    <xf numFmtId="0" fontId="10" fillId="13" borderId="2" xfId="0" applyFont="1" applyFill="1" applyBorder="1" applyAlignment="1">
      <alignment horizontal="center" vertical="center" wrapText="1"/>
    </xf>
    <xf numFmtId="164" fontId="4" fillId="0" borderId="2" xfId="0" applyNumberFormat="1" applyFont="1" applyBorder="1"/>
    <xf numFmtId="0" fontId="5" fillId="0" borderId="2" xfId="0" applyFont="1" applyBorder="1"/>
    <xf numFmtId="0" fontId="5" fillId="7" borderId="2" xfId="0" applyFont="1" applyFill="1" applyBorder="1"/>
    <xf numFmtId="164" fontId="4" fillId="7" borderId="2" xfId="0" applyNumberFormat="1" applyFont="1" applyFill="1" applyBorder="1"/>
    <xf numFmtId="0" fontId="20" fillId="14" borderId="2" xfId="0" applyFont="1" applyFill="1" applyBorder="1"/>
    <xf numFmtId="0" fontId="0" fillId="14" borderId="2" xfId="0" applyFill="1" applyBorder="1"/>
    <xf numFmtId="164" fontId="20" fillId="14" borderId="2" xfId="0" applyNumberFormat="1" applyFont="1" applyFill="1" applyBorder="1"/>
    <xf numFmtId="0" fontId="10" fillId="5" borderId="0" xfId="0" applyFont="1" applyFill="1" applyAlignment="1">
      <alignment horizontal="center" vertical="center"/>
    </xf>
    <xf numFmtId="1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0" fontId="23" fillId="0" borderId="0" xfId="0" applyFont="1"/>
    <xf numFmtId="1" fontId="23" fillId="7" borderId="0" xfId="0" applyNumberFormat="1" applyFont="1" applyFill="1" applyAlignment="1">
      <alignment horizontal="center"/>
    </xf>
    <xf numFmtId="166" fontId="23" fillId="7" borderId="0" xfId="0" applyNumberFormat="1" applyFont="1" applyFill="1" applyAlignment="1">
      <alignment horizontal="center"/>
    </xf>
    <xf numFmtId="0" fontId="23" fillId="7" borderId="0" xfId="0" applyFont="1" applyFill="1"/>
    <xf numFmtId="14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3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9" fillId="14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6D2E46"/>
      <rgbColor rgb="FFF2F2F2"/>
      <rgbColor rgb="FFE3F2FD"/>
      <rgbColor rgb="FF660066"/>
      <rgbColor rgb="FFFF8080"/>
      <rgbColor rgb="FF065A82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E8EE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B85042"/>
      <rgbColor rgb="FF333399"/>
      <rgbColor rgb="FF2C5F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A1:H49"/>
  <sheetViews>
    <sheetView zoomScaleNormal="100" workbookViewId="0">
      <selection activeCell="D15" sqref="D15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7" width="18" customWidth="1"/>
    <col min="8" max="8" width="3" customWidth="1"/>
  </cols>
  <sheetData>
    <row r="1" spans="1:8" ht="39.75" customHeight="1" x14ac:dyDescent="0.2">
      <c r="A1" s="78" t="s">
        <v>0</v>
      </c>
      <c r="B1" s="78"/>
      <c r="C1" s="78"/>
      <c r="D1" s="78"/>
      <c r="E1" s="78"/>
      <c r="F1" s="78"/>
      <c r="G1" s="78"/>
      <c r="H1" s="78"/>
    </row>
    <row r="2" spans="1:8" ht="15" customHeight="1" x14ac:dyDescent="0.2">
      <c r="A2" s="79" t="s">
        <v>1</v>
      </c>
      <c r="B2" s="79"/>
      <c r="C2" s="79"/>
      <c r="D2" s="79"/>
      <c r="E2" s="79"/>
      <c r="F2" s="79"/>
      <c r="G2" s="79"/>
      <c r="H2" s="79"/>
    </row>
    <row r="3" spans="1:8" ht="15" customHeight="1" x14ac:dyDescent="0.2"/>
    <row r="4" spans="1:8" ht="15" customHeight="1" x14ac:dyDescent="0.2">
      <c r="B4" s="77" t="s">
        <v>2</v>
      </c>
      <c r="C4" s="77"/>
      <c r="D4" s="77"/>
      <c r="E4" s="77"/>
      <c r="F4" s="77"/>
      <c r="G4" s="77"/>
    </row>
    <row r="5" spans="1:8" ht="15" customHeight="1" x14ac:dyDescent="0.2">
      <c r="B5" s="2" t="s">
        <v>3</v>
      </c>
      <c r="C5" s="3">
        <v>180000</v>
      </c>
      <c r="D5" s="4"/>
      <c r="E5" s="4"/>
      <c r="F5" s="4"/>
      <c r="G5" s="4"/>
    </row>
    <row r="6" spans="1:8" ht="15" customHeight="1" x14ac:dyDescent="0.2">
      <c r="B6" s="2" t="s">
        <v>4</v>
      </c>
      <c r="C6" s="5">
        <f>'Comp 1 - BoB'!H38</f>
        <v>-0.50082741229286987</v>
      </c>
      <c r="D6" s="4"/>
      <c r="E6" s="4"/>
      <c r="F6" s="4"/>
      <c r="G6" s="4"/>
    </row>
    <row r="7" spans="1:8" ht="15" customHeight="1" x14ac:dyDescent="0.2">
      <c r="B7" s="2" t="s">
        <v>5</v>
      </c>
      <c r="C7" s="5">
        <f>'Comp 2 - Region'!G18</f>
        <v>0.48779084467289063</v>
      </c>
      <c r="D7" s="4"/>
      <c r="E7" s="4"/>
      <c r="F7" s="4"/>
      <c r="G7" s="4"/>
    </row>
    <row r="8" spans="1:8" ht="15" customHeight="1" x14ac:dyDescent="0.2">
      <c r="B8" s="2" t="s">
        <v>6</v>
      </c>
      <c r="C8" s="5">
        <f>'Comp 3 - Strategic'!D17</f>
        <v>0</v>
      </c>
      <c r="D8" s="4"/>
      <c r="E8" s="4"/>
      <c r="F8" s="4"/>
      <c r="G8" s="4"/>
    </row>
    <row r="9" spans="1:8" ht="15" customHeight="1" x14ac:dyDescent="0.2">
      <c r="B9" s="2" t="s">
        <v>7</v>
      </c>
      <c r="C9" s="5">
        <f>Commissions!E28</f>
        <v>0</v>
      </c>
      <c r="D9" s="4"/>
      <c r="E9" s="4"/>
      <c r="F9" s="4"/>
      <c r="G9" s="4"/>
    </row>
    <row r="10" spans="1:8" ht="15" customHeight="1" x14ac:dyDescent="0.2">
      <c r="B10" s="6" t="s">
        <v>8</v>
      </c>
      <c r="C10" s="7">
        <f>SUM(C5:C9)</f>
        <v>179999.98696343237</v>
      </c>
      <c r="D10" s="8"/>
      <c r="E10" s="8"/>
      <c r="F10" s="8"/>
      <c r="G10" s="8"/>
    </row>
    <row r="11" spans="1:8" ht="15" customHeight="1" x14ac:dyDescent="0.2">
      <c r="B11" s="9" t="s">
        <v>9</v>
      </c>
      <c r="C11" s="10">
        <f>180000+100000</f>
        <v>280000</v>
      </c>
      <c r="D11" s="11" t="s">
        <v>10</v>
      </c>
    </row>
    <row r="12" spans="1:8" ht="15" customHeight="1" x14ac:dyDescent="0.2"/>
    <row r="13" spans="1:8" ht="15" customHeight="1" x14ac:dyDescent="0.2">
      <c r="B13" s="77" t="s">
        <v>11</v>
      </c>
      <c r="C13" s="77"/>
      <c r="D13" s="77"/>
      <c r="E13" s="77"/>
      <c r="F13" s="77"/>
      <c r="G13" s="77"/>
    </row>
    <row r="14" spans="1:8" ht="15" customHeight="1" x14ac:dyDescent="0.2">
      <c r="B14" s="12" t="s">
        <v>12</v>
      </c>
      <c r="C14" s="12" t="s">
        <v>13</v>
      </c>
      <c r="D14" s="12" t="s">
        <v>14</v>
      </c>
      <c r="E14" s="12" t="s">
        <v>15</v>
      </c>
      <c r="F14" s="12" t="s">
        <v>16</v>
      </c>
    </row>
    <row r="15" spans="1:8" ht="23.25" customHeight="1" x14ac:dyDescent="0.2">
      <c r="B15" s="13" t="s">
        <v>17</v>
      </c>
      <c r="C15" s="14" t="s">
        <v>18</v>
      </c>
      <c r="D15" s="5">
        <f>'Comp 1 - BoB'!H36</f>
        <v>0</v>
      </c>
      <c r="E15" s="15">
        <f>'Comp 1 - BoB'!H37</f>
        <v>0</v>
      </c>
      <c r="F15" s="16" t="s">
        <v>19</v>
      </c>
    </row>
    <row r="16" spans="1:8" ht="23.25" customHeight="1" x14ac:dyDescent="0.2">
      <c r="B16" s="13" t="s">
        <v>20</v>
      </c>
      <c r="C16" s="14" t="s">
        <v>18</v>
      </c>
      <c r="D16" s="5">
        <f>'Comp 2 - Region'!G16</f>
        <v>0</v>
      </c>
      <c r="E16" s="15">
        <f>'Comp 2 - Region'!G17</f>
        <v>-0.52741347645429359</v>
      </c>
      <c r="F16" s="16" t="s">
        <v>19</v>
      </c>
    </row>
    <row r="17" spans="2:6" ht="15" customHeight="1" x14ac:dyDescent="0.2">
      <c r="B17" s="13" t="s">
        <v>21</v>
      </c>
      <c r="C17" s="14" t="s">
        <v>22</v>
      </c>
      <c r="D17" s="5">
        <f>'Comp 3 - Strategic'!D9</f>
        <v>0</v>
      </c>
      <c r="E17" s="15">
        <f>'Comp 3 - Strategic'!D10</f>
        <v>0</v>
      </c>
      <c r="F17" s="16" t="s">
        <v>19</v>
      </c>
    </row>
    <row r="18" spans="2:6" ht="15" customHeight="1" x14ac:dyDescent="0.2">
      <c r="B18" s="13" t="s">
        <v>23</v>
      </c>
      <c r="C18" s="14" t="s">
        <v>22</v>
      </c>
      <c r="D18" s="5">
        <f>'Comp 3 - Strategic'!D15</f>
        <v>0</v>
      </c>
      <c r="E18" s="15">
        <f>'Comp 3 - Strategic'!D16</f>
        <v>0</v>
      </c>
      <c r="F18" s="16" t="s">
        <v>19</v>
      </c>
    </row>
    <row r="19" spans="2:6" ht="15" customHeight="1" x14ac:dyDescent="0.2"/>
    <row r="20" spans="2:6" ht="15" customHeight="1" x14ac:dyDescent="0.2">
      <c r="B20" s="1" t="s">
        <v>24</v>
      </c>
    </row>
    <row r="21" spans="2:6" ht="21.75" customHeight="1" x14ac:dyDescent="0.2">
      <c r="B21" s="17" t="s">
        <v>25</v>
      </c>
    </row>
    <row r="22" spans="2:6" ht="21.75" customHeight="1" x14ac:dyDescent="0.2">
      <c r="B22" s="17" t="s">
        <v>26</v>
      </c>
    </row>
    <row r="23" spans="2:6" ht="21.75" customHeight="1" x14ac:dyDescent="0.2">
      <c r="B23" s="17" t="s">
        <v>27</v>
      </c>
    </row>
    <row r="24" spans="2:6" ht="21.75" customHeight="1" x14ac:dyDescent="0.2">
      <c r="B24" s="17" t="s">
        <v>28</v>
      </c>
    </row>
    <row r="25" spans="2:6" ht="21.75" customHeight="1" x14ac:dyDescent="0.2">
      <c r="B25" s="17" t="s">
        <v>29</v>
      </c>
    </row>
    <row r="26" spans="2:6" ht="21.75" customHeight="1" x14ac:dyDescent="0.2">
      <c r="B26" s="17" t="s">
        <v>30</v>
      </c>
    </row>
    <row r="27" spans="2:6" ht="21.75" customHeight="1" x14ac:dyDescent="0.2">
      <c r="B27" s="17" t="s">
        <v>31</v>
      </c>
    </row>
    <row r="28" spans="2:6" ht="15" customHeight="1" x14ac:dyDescent="0.2"/>
    <row r="29" spans="2:6" ht="15" customHeight="1" x14ac:dyDescent="0.2"/>
    <row r="30" spans="2:6" ht="15" customHeight="1" x14ac:dyDescent="0.2"/>
    <row r="31" spans="2:6" ht="15" customHeight="1" x14ac:dyDescent="0.2"/>
    <row r="32" spans="2:6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</sheetData>
  <mergeCells count="4">
    <mergeCell ref="A1:H1"/>
    <mergeCell ref="A2:H2"/>
    <mergeCell ref="B4:G4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5F2D"/>
  </sheetPr>
  <dimension ref="A1:P40"/>
  <sheetViews>
    <sheetView tabSelected="1" zoomScaleNormal="100" workbookViewId="0">
      <selection activeCell="F5" sqref="F5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15" width="15" customWidth="1"/>
  </cols>
  <sheetData>
    <row r="1" spans="1:8" ht="36" customHeight="1" x14ac:dyDescent="0.2">
      <c r="A1" s="75" t="s">
        <v>32</v>
      </c>
      <c r="B1" s="75"/>
      <c r="C1" s="75"/>
      <c r="D1" s="75"/>
      <c r="E1" s="75"/>
      <c r="F1" s="75"/>
      <c r="G1" s="75"/>
      <c r="H1" s="75"/>
    </row>
    <row r="2" spans="1:8" ht="15" customHeight="1" x14ac:dyDescent="0.2">
      <c r="A2" s="76" t="s">
        <v>33</v>
      </c>
      <c r="B2" s="76"/>
      <c r="C2" s="76"/>
      <c r="D2" s="76"/>
      <c r="E2" s="76"/>
      <c r="F2" s="76"/>
      <c r="G2" s="76"/>
      <c r="H2" s="76"/>
    </row>
    <row r="4" spans="1:8" ht="26.25" customHeight="1" x14ac:dyDescent="0.2">
      <c r="B4" s="18" t="s">
        <v>34</v>
      </c>
      <c r="C4" s="18" t="s">
        <v>35</v>
      </c>
      <c r="D4" s="18" t="s">
        <v>36</v>
      </c>
      <c r="E4" s="18" t="s">
        <v>37</v>
      </c>
      <c r="F4" s="18" t="s">
        <v>38</v>
      </c>
      <c r="G4" s="18" t="s">
        <v>39</v>
      </c>
      <c r="H4" s="18" t="s">
        <v>40</v>
      </c>
    </row>
    <row r="5" spans="1:8" ht="15" customHeight="1" x14ac:dyDescent="0.2">
      <c r="B5" s="19" t="s">
        <v>41</v>
      </c>
      <c r="C5" s="20">
        <v>498160</v>
      </c>
      <c r="D5" s="21">
        <v>476120</v>
      </c>
      <c r="E5" s="22"/>
      <c r="F5" s="21">
        <v>249240</v>
      </c>
      <c r="G5" s="23">
        <v>0.25</v>
      </c>
      <c r="H5" s="24">
        <f t="shared" ref="H5:H24" si="0">IF(D5=0,"-",IF(F5=0,"-",(F5-D5)/D5))</f>
        <v>-0.47651852474166179</v>
      </c>
    </row>
    <row r="6" spans="1:8" ht="15" customHeight="1" x14ac:dyDescent="0.2">
      <c r="B6" s="25" t="s">
        <v>42</v>
      </c>
      <c r="C6" s="26">
        <v>657574</v>
      </c>
      <c r="D6" s="27">
        <v>925267</v>
      </c>
      <c r="E6" s="27"/>
      <c r="F6" s="27">
        <v>338516</v>
      </c>
      <c r="G6" s="28">
        <v>0.21</v>
      </c>
      <c r="H6" s="29">
        <f t="shared" si="0"/>
        <v>-0.63414236106983168</v>
      </c>
    </row>
    <row r="7" spans="1:8" ht="15" customHeight="1" x14ac:dyDescent="0.2">
      <c r="B7" s="19" t="s">
        <v>43</v>
      </c>
      <c r="C7" s="20">
        <v>2064868.31</v>
      </c>
      <c r="D7" s="21">
        <v>1093108.77</v>
      </c>
      <c r="E7" s="22"/>
      <c r="F7" s="21">
        <v>559386</v>
      </c>
      <c r="G7" s="23">
        <v>0.39</v>
      </c>
      <c r="H7" s="24">
        <f t="shared" si="0"/>
        <v>-0.48826135572949436</v>
      </c>
    </row>
    <row r="8" spans="1:8" ht="15" customHeight="1" x14ac:dyDescent="0.2">
      <c r="B8" s="25" t="s">
        <v>44</v>
      </c>
      <c r="C8" s="26">
        <v>6244286.3200000003</v>
      </c>
      <c r="D8" s="27">
        <v>5024642</v>
      </c>
      <c r="E8" s="27"/>
      <c r="F8" s="27">
        <v>2308168</v>
      </c>
      <c r="G8" s="28">
        <v>0.4</v>
      </c>
      <c r="H8" s="29">
        <f t="shared" si="0"/>
        <v>-0.54063035734685183</v>
      </c>
    </row>
    <row r="9" spans="1:8" ht="15" customHeight="1" x14ac:dyDescent="0.2">
      <c r="B9" s="19" t="s">
        <v>45</v>
      </c>
      <c r="C9" s="20">
        <v>30688.62</v>
      </c>
      <c r="D9" s="21">
        <v>32100</v>
      </c>
      <c r="E9" s="22"/>
      <c r="F9" s="21">
        <v>161680</v>
      </c>
      <c r="G9" s="23">
        <v>0.25</v>
      </c>
      <c r="H9" s="24">
        <f t="shared" si="0"/>
        <v>4.0367601246105922</v>
      </c>
    </row>
    <row r="10" spans="1:8" ht="15" customHeight="1" x14ac:dyDescent="0.2">
      <c r="B10" s="25" t="s">
        <v>46</v>
      </c>
      <c r="C10" s="26">
        <v>0</v>
      </c>
      <c r="D10" s="27">
        <v>628655.41</v>
      </c>
      <c r="E10" s="27"/>
      <c r="F10" s="27">
        <v>142502</v>
      </c>
      <c r="G10" s="28">
        <v>0.5</v>
      </c>
      <c r="H10" s="29">
        <f t="shared" si="0"/>
        <v>-0.77332255837900132</v>
      </c>
    </row>
    <row r="11" spans="1:8" ht="15" customHeight="1" x14ac:dyDescent="0.2">
      <c r="B11" s="19" t="s">
        <v>47</v>
      </c>
      <c r="C11" s="20">
        <v>1297839.3799999999</v>
      </c>
      <c r="D11" s="21">
        <v>2760096.23</v>
      </c>
      <c r="E11" s="22"/>
      <c r="F11" s="21">
        <v>1677276</v>
      </c>
      <c r="G11" s="23">
        <v>0.28000000000000003</v>
      </c>
      <c r="H11" s="24">
        <f t="shared" si="0"/>
        <v>-0.39231249194525364</v>
      </c>
    </row>
    <row r="12" spans="1:8" ht="15" customHeight="1" x14ac:dyDescent="0.2">
      <c r="B12" s="25" t="s">
        <v>48</v>
      </c>
      <c r="C12" s="26">
        <v>307204</v>
      </c>
      <c r="D12" s="27">
        <v>1004738</v>
      </c>
      <c r="E12" s="27"/>
      <c r="F12" s="27">
        <v>532126</v>
      </c>
      <c r="G12" s="28">
        <v>0.26</v>
      </c>
      <c r="H12" s="29">
        <f t="shared" si="0"/>
        <v>-0.47038332381177977</v>
      </c>
    </row>
    <row r="13" spans="1:8" ht="15" customHeight="1" x14ac:dyDescent="0.2">
      <c r="B13" s="19" t="s">
        <v>49</v>
      </c>
      <c r="C13" s="20">
        <v>402415.9</v>
      </c>
      <c r="D13" s="21">
        <v>659367.62</v>
      </c>
      <c r="E13" s="22"/>
      <c r="F13" s="21">
        <v>364042</v>
      </c>
      <c r="G13" s="23">
        <v>0.28999999999999998</v>
      </c>
      <c r="H13" s="24">
        <f t="shared" si="0"/>
        <v>-0.44789220920493489</v>
      </c>
    </row>
    <row r="14" spans="1:8" ht="15" customHeight="1" x14ac:dyDescent="0.2">
      <c r="B14" s="25" t="s">
        <v>50</v>
      </c>
      <c r="C14" s="26">
        <v>1116829.26</v>
      </c>
      <c r="D14" s="27">
        <v>770198.75</v>
      </c>
      <c r="E14" s="27"/>
      <c r="F14" s="27">
        <v>351793</v>
      </c>
      <c r="G14" s="28">
        <v>0.22</v>
      </c>
      <c r="H14" s="29">
        <f t="shared" si="0"/>
        <v>-0.54324387049446654</v>
      </c>
    </row>
    <row r="15" spans="1:8" ht="15" customHeight="1" x14ac:dyDescent="0.2">
      <c r="B15" s="19" t="s">
        <v>51</v>
      </c>
      <c r="C15" s="30">
        <v>72.92</v>
      </c>
      <c r="D15" s="31">
        <v>17325</v>
      </c>
      <c r="E15" s="22"/>
      <c r="F15" s="21">
        <v>0</v>
      </c>
      <c r="G15" s="23"/>
      <c r="H15" s="24" t="str">
        <f t="shared" si="0"/>
        <v>-</v>
      </c>
    </row>
    <row r="16" spans="1:8" ht="15" customHeight="1" x14ac:dyDescent="0.2">
      <c r="B16" s="25" t="s">
        <v>52</v>
      </c>
      <c r="C16" s="26"/>
      <c r="D16" s="27"/>
      <c r="E16" s="27"/>
      <c r="F16" s="27">
        <v>0</v>
      </c>
      <c r="G16" s="28"/>
      <c r="H16" s="29" t="str">
        <f t="shared" si="0"/>
        <v>-</v>
      </c>
    </row>
    <row r="17" spans="2:16" ht="15" customHeight="1" x14ac:dyDescent="0.2">
      <c r="B17" s="19" t="s">
        <v>53</v>
      </c>
      <c r="C17" s="30"/>
      <c r="D17" s="31"/>
      <c r="E17" s="22"/>
      <c r="F17" s="21">
        <v>0</v>
      </c>
      <c r="G17" s="23"/>
      <c r="H17" s="24" t="str">
        <f t="shared" si="0"/>
        <v>-</v>
      </c>
    </row>
    <row r="18" spans="2:16" ht="15" customHeight="1" x14ac:dyDescent="0.2">
      <c r="B18" s="25" t="s">
        <v>54</v>
      </c>
      <c r="C18" s="26"/>
      <c r="D18" s="27"/>
      <c r="E18" s="27"/>
      <c r="F18" s="27">
        <v>0</v>
      </c>
      <c r="G18" s="28"/>
      <c r="H18" s="29" t="str">
        <f t="shared" si="0"/>
        <v>-</v>
      </c>
    </row>
    <row r="19" spans="2:16" ht="15" customHeight="1" x14ac:dyDescent="0.2">
      <c r="B19" s="19" t="s">
        <v>55</v>
      </c>
      <c r="C19" s="30"/>
      <c r="D19" s="31"/>
      <c r="E19" s="22"/>
      <c r="F19" s="21">
        <v>0</v>
      </c>
      <c r="G19" s="23"/>
      <c r="H19" s="24" t="str">
        <f t="shared" si="0"/>
        <v>-</v>
      </c>
    </row>
    <row r="20" spans="2:16" ht="15" customHeight="1" x14ac:dyDescent="0.2">
      <c r="B20" s="25" t="s">
        <v>56</v>
      </c>
      <c r="C20" s="26"/>
      <c r="D20" s="27"/>
      <c r="E20" s="27"/>
      <c r="F20" s="27">
        <v>0</v>
      </c>
      <c r="G20" s="28"/>
      <c r="H20" s="29" t="str">
        <f t="shared" si="0"/>
        <v>-</v>
      </c>
    </row>
    <row r="21" spans="2:16" ht="15" customHeight="1" x14ac:dyDescent="0.2">
      <c r="B21" s="19" t="s">
        <v>57</v>
      </c>
      <c r="C21" s="30"/>
      <c r="D21" s="31"/>
      <c r="E21" s="22"/>
      <c r="F21" s="21">
        <v>0</v>
      </c>
      <c r="G21" s="23"/>
      <c r="H21" s="24" t="str">
        <f t="shared" si="0"/>
        <v>-</v>
      </c>
    </row>
    <row r="22" spans="2:16" ht="15" customHeight="1" x14ac:dyDescent="0.2">
      <c r="B22" s="25" t="s">
        <v>58</v>
      </c>
      <c r="C22" s="26"/>
      <c r="D22" s="27"/>
      <c r="E22" s="27"/>
      <c r="F22" s="27">
        <v>0</v>
      </c>
      <c r="G22" s="28"/>
      <c r="H22" s="29" t="str">
        <f t="shared" si="0"/>
        <v>-</v>
      </c>
    </row>
    <row r="23" spans="2:16" ht="15" customHeight="1" x14ac:dyDescent="0.2">
      <c r="B23" s="19" t="s">
        <v>59</v>
      </c>
      <c r="C23" s="30"/>
      <c r="D23" s="31"/>
      <c r="E23" s="22"/>
      <c r="F23" s="21">
        <v>0</v>
      </c>
      <c r="G23" s="23"/>
      <c r="H23" s="24" t="str">
        <f t="shared" si="0"/>
        <v>-</v>
      </c>
    </row>
    <row r="24" spans="2:16" ht="15" customHeight="1" x14ac:dyDescent="0.2">
      <c r="B24" s="25" t="s">
        <v>60</v>
      </c>
      <c r="C24" s="26"/>
      <c r="D24" s="27"/>
      <c r="E24" s="27"/>
      <c r="F24" s="27">
        <v>0</v>
      </c>
      <c r="G24" s="28"/>
      <c r="H24" s="29" t="str">
        <f t="shared" si="0"/>
        <v>-</v>
      </c>
    </row>
    <row r="25" spans="2:16" ht="15" customHeight="1" x14ac:dyDescent="0.2">
      <c r="B25" s="32" t="s">
        <v>61</v>
      </c>
      <c r="C25" s="33">
        <f>SUM(C5:C24)</f>
        <v>12619938.709999999</v>
      </c>
      <c r="D25" s="34">
        <f>SUM(D5:D24)</f>
        <v>13391618.779999999</v>
      </c>
      <c r="E25" s="34">
        <f>SUM(E5:E24)</f>
        <v>0</v>
      </c>
      <c r="F25" s="34">
        <f>SUM(F5:F24)</f>
        <v>6684729</v>
      </c>
      <c r="G25" s="35">
        <f>IF(F25=0,"-",SUMPRODUCT(F5:F24,G5:G24)/F25)</f>
        <v>0.32573553542709066</v>
      </c>
      <c r="H25" s="35">
        <f>IF(D25=0,"-",(F25-D25)/D25)</f>
        <v>-0.50082741229286987</v>
      </c>
    </row>
    <row r="28" spans="2:16" ht="15" customHeight="1" x14ac:dyDescent="0.2">
      <c r="B28" s="77" t="s">
        <v>62</v>
      </c>
      <c r="C28" s="77"/>
      <c r="D28" s="77"/>
      <c r="E28" s="77"/>
      <c r="F28" s="77"/>
      <c r="G28" s="77"/>
      <c r="H28" s="77"/>
      <c r="I28" s="36"/>
    </row>
    <row r="29" spans="2:16" ht="15" customHeight="1" x14ac:dyDescent="0.2">
      <c r="B29" s="18" t="s">
        <v>63</v>
      </c>
      <c r="D29" s="18" t="s">
        <v>64</v>
      </c>
      <c r="E29" s="18" t="s">
        <v>65</v>
      </c>
      <c r="F29" s="18" t="s">
        <v>66</v>
      </c>
      <c r="G29" s="18" t="s">
        <v>67</v>
      </c>
      <c r="H29" s="18" t="s">
        <v>68</v>
      </c>
      <c r="I29" s="18" t="s">
        <v>69</v>
      </c>
      <c r="J29" s="18" t="s">
        <v>70</v>
      </c>
      <c r="K29" s="18" t="s">
        <v>71</v>
      </c>
      <c r="L29" s="18" t="s">
        <v>72</v>
      </c>
      <c r="M29" s="18" t="s">
        <v>73</v>
      </c>
      <c r="N29" s="18" t="s">
        <v>74</v>
      </c>
      <c r="O29" s="18" t="s">
        <v>75</v>
      </c>
      <c r="P29" s="18" t="s">
        <v>76</v>
      </c>
    </row>
    <row r="30" spans="2:16" ht="15" customHeight="1" x14ac:dyDescent="0.2">
      <c r="B30" s="37" t="s">
        <v>77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>
        <f>SUM(C30:N30)</f>
        <v>0</v>
      </c>
    </row>
    <row r="31" spans="2:16" ht="15" customHeight="1" x14ac:dyDescent="0.2">
      <c r="B31" s="37" t="s">
        <v>78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>
        <f>SUM(C31:N31)</f>
        <v>0</v>
      </c>
    </row>
    <row r="32" spans="2:16" ht="15" customHeight="1" x14ac:dyDescent="0.2">
      <c r="B32" s="37" t="s">
        <v>79</v>
      </c>
      <c r="D32" s="40">
        <f t="shared" ref="D32:P32" si="1">C30-C31</f>
        <v>0</v>
      </c>
      <c r="E32" s="40">
        <f t="shared" si="1"/>
        <v>0</v>
      </c>
      <c r="F32" s="40">
        <f t="shared" si="1"/>
        <v>0</v>
      </c>
      <c r="G32" s="40">
        <f t="shared" si="1"/>
        <v>0</v>
      </c>
      <c r="H32" s="40">
        <f t="shared" si="1"/>
        <v>0</v>
      </c>
      <c r="I32" s="40">
        <f t="shared" si="1"/>
        <v>0</v>
      </c>
      <c r="J32" s="40">
        <f t="shared" si="1"/>
        <v>0</v>
      </c>
      <c r="K32" s="40">
        <f t="shared" si="1"/>
        <v>0</v>
      </c>
      <c r="L32" s="40">
        <f t="shared" si="1"/>
        <v>0</v>
      </c>
      <c r="M32" s="40">
        <f t="shared" si="1"/>
        <v>0</v>
      </c>
      <c r="N32" s="40">
        <f t="shared" si="1"/>
        <v>0</v>
      </c>
      <c r="O32" s="40">
        <f t="shared" si="1"/>
        <v>0</v>
      </c>
      <c r="P32" s="39">
        <f t="shared" si="1"/>
        <v>0</v>
      </c>
    </row>
    <row r="33" spans="2:16" ht="15" customHeight="1" x14ac:dyDescent="0.2">
      <c r="B33" s="37" t="s">
        <v>80</v>
      </c>
      <c r="D33" s="41" t="str">
        <f t="shared" ref="D33:P33" si="2">IF(C30=0,"-",C32/C30)</f>
        <v>-</v>
      </c>
      <c r="E33" s="41" t="str">
        <f t="shared" si="2"/>
        <v>-</v>
      </c>
      <c r="F33" s="41" t="str">
        <f t="shared" si="2"/>
        <v>-</v>
      </c>
      <c r="G33" s="41" t="str">
        <f t="shared" si="2"/>
        <v>-</v>
      </c>
      <c r="H33" s="41" t="str">
        <f t="shared" si="2"/>
        <v>-</v>
      </c>
      <c r="I33" s="41" t="str">
        <f t="shared" si="2"/>
        <v>-</v>
      </c>
      <c r="J33" s="41" t="str">
        <f t="shared" si="2"/>
        <v>-</v>
      </c>
      <c r="K33" s="41" t="str">
        <f t="shared" si="2"/>
        <v>-</v>
      </c>
      <c r="L33" s="41" t="str">
        <f t="shared" si="2"/>
        <v>-</v>
      </c>
      <c r="M33" s="41" t="str">
        <f t="shared" si="2"/>
        <v>-</v>
      </c>
      <c r="N33" s="41" t="str">
        <f t="shared" si="2"/>
        <v>-</v>
      </c>
      <c r="O33" s="41" t="str">
        <f t="shared" si="2"/>
        <v>-</v>
      </c>
      <c r="P33" s="42" t="str">
        <f t="shared" si="2"/>
        <v>-</v>
      </c>
    </row>
    <row r="34" spans="2:16" ht="15" customHeight="1" x14ac:dyDescent="0.2">
      <c r="B34" s="37" t="s">
        <v>81</v>
      </c>
      <c r="D34" s="40">
        <f>C30</f>
        <v>0</v>
      </c>
      <c r="E34" s="40">
        <f t="shared" ref="E34:O34" si="3">C34+D30</f>
        <v>0</v>
      </c>
      <c r="F34" s="40">
        <f t="shared" si="3"/>
        <v>0</v>
      </c>
      <c r="G34" s="40">
        <f t="shared" si="3"/>
        <v>0</v>
      </c>
      <c r="H34" s="40">
        <f t="shared" si="3"/>
        <v>0</v>
      </c>
      <c r="I34" s="40">
        <f t="shared" si="3"/>
        <v>0</v>
      </c>
      <c r="J34" s="40">
        <f t="shared" si="3"/>
        <v>0</v>
      </c>
      <c r="K34" s="40">
        <f t="shared" si="3"/>
        <v>0</v>
      </c>
      <c r="L34" s="40">
        <f t="shared" si="3"/>
        <v>0</v>
      </c>
      <c r="M34" s="40">
        <f t="shared" si="3"/>
        <v>0</v>
      </c>
      <c r="N34" s="40">
        <f t="shared" si="3"/>
        <v>0</v>
      </c>
      <c r="O34" s="40">
        <f t="shared" si="3"/>
        <v>0</v>
      </c>
      <c r="P34" s="39">
        <f>O30</f>
        <v>0</v>
      </c>
    </row>
    <row r="35" spans="2:16" ht="15" customHeight="1" x14ac:dyDescent="0.2">
      <c r="B35" s="37" t="s">
        <v>82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4"/>
    </row>
    <row r="37" spans="2:16" ht="15" customHeight="1" x14ac:dyDescent="0.2">
      <c r="B37" s="1" t="s">
        <v>83</v>
      </c>
    </row>
    <row r="38" spans="2:16" ht="15" customHeight="1" x14ac:dyDescent="0.2">
      <c r="B38" s="4" t="s">
        <v>84</v>
      </c>
      <c r="H38" s="24">
        <f>H25</f>
        <v>-0.50082741229286987</v>
      </c>
    </row>
    <row r="39" spans="2:16" ht="15" customHeight="1" x14ac:dyDescent="0.2">
      <c r="B39" s="4" t="s">
        <v>85</v>
      </c>
      <c r="H39" s="24">
        <f>G25</f>
        <v>0.32573553542709066</v>
      </c>
    </row>
    <row r="40" spans="2:16" ht="15" customHeight="1" x14ac:dyDescent="0.2">
      <c r="B40" s="37" t="s">
        <v>86</v>
      </c>
      <c r="E40" s="11" t="s">
        <v>87</v>
      </c>
      <c r="H40" s="21">
        <v>0</v>
      </c>
    </row>
  </sheetData>
  <mergeCells count="3">
    <mergeCell ref="A1:H1"/>
    <mergeCell ref="A2:H2"/>
    <mergeCell ref="B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5A82"/>
  </sheetPr>
  <dimension ref="A1:O19"/>
  <sheetViews>
    <sheetView topLeftCell="A2" zoomScaleNormal="100" workbookViewId="0">
      <selection activeCell="C14" sqref="C14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15" width="14" customWidth="1"/>
  </cols>
  <sheetData>
    <row r="1" spans="1:15" ht="36" customHeight="1" x14ac:dyDescent="0.2">
      <c r="A1" s="80" t="s">
        <v>88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5" customHeight="1" x14ac:dyDescent="0.2">
      <c r="A2" s="81" t="s">
        <v>89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spans="1:15" ht="15" customHeight="1" x14ac:dyDescent="0.2">
      <c r="B4" s="9" t="s">
        <v>90</v>
      </c>
      <c r="C4" s="45">
        <v>72200000</v>
      </c>
    </row>
    <row r="5" spans="1:15" ht="15" customHeight="1" x14ac:dyDescent="0.2">
      <c r="B5" s="9" t="s">
        <v>91</v>
      </c>
      <c r="C5" s="45">
        <v>14000000</v>
      </c>
    </row>
    <row r="6" spans="1:15" ht="15" customHeight="1" x14ac:dyDescent="0.2">
      <c r="B6" s="46" t="s">
        <v>92</v>
      </c>
      <c r="C6" s="47">
        <f>C4*1.06</f>
        <v>76532000</v>
      </c>
    </row>
    <row r="8" spans="1:15" ht="15" customHeight="1" x14ac:dyDescent="0.2">
      <c r="B8" s="48" t="s">
        <v>63</v>
      </c>
      <c r="C8" s="48" t="s">
        <v>64</v>
      </c>
      <c r="D8" s="48" t="s">
        <v>65</v>
      </c>
      <c r="E8" s="48" t="s">
        <v>66</v>
      </c>
      <c r="F8" s="48" t="s">
        <v>67</v>
      </c>
      <c r="G8" s="48" t="s">
        <v>68</v>
      </c>
      <c r="H8" s="48" t="s">
        <v>69</v>
      </c>
      <c r="I8" s="48" t="s">
        <v>70</v>
      </c>
      <c r="J8" s="48" t="s">
        <v>71</v>
      </c>
      <c r="K8" s="48" t="s">
        <v>72</v>
      </c>
      <c r="L8" s="48" t="s">
        <v>73</v>
      </c>
      <c r="M8" s="48" t="s">
        <v>74</v>
      </c>
      <c r="N8" s="48" t="s">
        <v>75</v>
      </c>
      <c r="O8" s="48" t="s">
        <v>76</v>
      </c>
    </row>
    <row r="9" spans="1:15" ht="15" customHeight="1" x14ac:dyDescent="0.2">
      <c r="B9" s="37" t="s">
        <v>93</v>
      </c>
      <c r="C9" s="21">
        <v>5440616</v>
      </c>
      <c r="D9" s="21">
        <v>5444848</v>
      </c>
      <c r="E9" s="21">
        <v>5865309</v>
      </c>
      <c r="F9" s="21">
        <v>5850646</v>
      </c>
      <c r="G9" s="21">
        <v>5273394</v>
      </c>
      <c r="H9" s="21">
        <v>6245934</v>
      </c>
      <c r="I9" s="21"/>
      <c r="J9" s="21"/>
      <c r="K9" s="21"/>
      <c r="L9" s="21"/>
      <c r="M9" s="21"/>
      <c r="N9" s="21"/>
      <c r="O9" s="49">
        <f>SUM(C9:N9)</f>
        <v>34120747</v>
      </c>
    </row>
    <row r="10" spans="1:15" ht="15" customHeight="1" x14ac:dyDescent="0.2">
      <c r="B10" s="37" t="s">
        <v>94</v>
      </c>
      <c r="C10" s="21">
        <v>3354802</v>
      </c>
      <c r="D10" s="21">
        <v>3378546</v>
      </c>
      <c r="E10" s="21">
        <v>3769893</v>
      </c>
      <c r="F10" s="21">
        <v>3695903</v>
      </c>
      <c r="G10" s="21">
        <v>3277815</v>
      </c>
      <c r="H10" s="21"/>
      <c r="I10" s="21"/>
      <c r="J10" s="21"/>
      <c r="K10" s="21"/>
      <c r="L10" s="21"/>
      <c r="M10" s="21"/>
      <c r="N10" s="21"/>
      <c r="O10" s="49">
        <f>SUM(C10:N10)</f>
        <v>17476959</v>
      </c>
    </row>
    <row r="11" spans="1:15" ht="15" customHeight="1" x14ac:dyDescent="0.2">
      <c r="B11" s="37" t="s">
        <v>95</v>
      </c>
      <c r="C11" s="50">
        <f t="shared" ref="C11:O11" si="0">C9-C10</f>
        <v>2085814</v>
      </c>
      <c r="D11" s="50">
        <f t="shared" si="0"/>
        <v>2066302</v>
      </c>
      <c r="E11" s="50">
        <f t="shared" si="0"/>
        <v>2095416</v>
      </c>
      <c r="F11" s="50">
        <f t="shared" si="0"/>
        <v>2154743</v>
      </c>
      <c r="G11" s="50">
        <f t="shared" si="0"/>
        <v>1995579</v>
      </c>
      <c r="H11" s="50">
        <f t="shared" si="0"/>
        <v>6245934</v>
      </c>
      <c r="I11" s="50">
        <f t="shared" si="0"/>
        <v>0</v>
      </c>
      <c r="J11" s="50">
        <f t="shared" si="0"/>
        <v>0</v>
      </c>
      <c r="K11" s="50">
        <f t="shared" si="0"/>
        <v>0</v>
      </c>
      <c r="L11" s="50">
        <f t="shared" si="0"/>
        <v>0</v>
      </c>
      <c r="M11" s="50">
        <f t="shared" si="0"/>
        <v>0</v>
      </c>
      <c r="N11" s="50">
        <f t="shared" si="0"/>
        <v>0</v>
      </c>
      <c r="O11" s="39">
        <f t="shared" si="0"/>
        <v>16643788</v>
      </c>
    </row>
    <row r="12" spans="1:15" ht="15" customHeight="1" x14ac:dyDescent="0.2">
      <c r="B12" s="37" t="s">
        <v>96</v>
      </c>
      <c r="C12" s="51">
        <f t="shared" ref="C12:O12" si="1">IF(C9=0,"-",C11/C9)</f>
        <v>0.38337827922426432</v>
      </c>
      <c r="D12" s="51">
        <f t="shared" si="1"/>
        <v>0.37949672791600425</v>
      </c>
      <c r="E12" s="51">
        <f t="shared" si="1"/>
        <v>0.3572558581312596</v>
      </c>
      <c r="F12" s="51">
        <f t="shared" si="1"/>
        <v>0.3682914673012177</v>
      </c>
      <c r="G12" s="51">
        <f t="shared" si="1"/>
        <v>0.37842402824442856</v>
      </c>
      <c r="H12" s="51">
        <f t="shared" si="1"/>
        <v>1</v>
      </c>
      <c r="I12" s="51" t="str">
        <f t="shared" si="1"/>
        <v>-</v>
      </c>
      <c r="J12" s="51" t="str">
        <f t="shared" si="1"/>
        <v>-</v>
      </c>
      <c r="K12" s="51" t="str">
        <f t="shared" si="1"/>
        <v>-</v>
      </c>
      <c r="L12" s="51" t="str">
        <f t="shared" si="1"/>
        <v>-</v>
      </c>
      <c r="M12" s="51" t="str">
        <f t="shared" si="1"/>
        <v>-</v>
      </c>
      <c r="N12" s="51" t="str">
        <f t="shared" si="1"/>
        <v>-</v>
      </c>
      <c r="O12" s="42">
        <f t="shared" si="1"/>
        <v>0.48779084467289063</v>
      </c>
    </row>
    <row r="13" spans="1:15" ht="15" customHeight="1" x14ac:dyDescent="0.2">
      <c r="B13" s="37" t="s">
        <v>81</v>
      </c>
      <c r="C13" s="50">
        <f>C9</f>
        <v>5440616</v>
      </c>
      <c r="D13" s="50">
        <f t="shared" ref="D13:O13" si="2">C13+D9</f>
        <v>10885464</v>
      </c>
      <c r="E13" s="50">
        <f t="shared" si="2"/>
        <v>16750773</v>
      </c>
      <c r="F13" s="50">
        <f t="shared" si="2"/>
        <v>22601419</v>
      </c>
      <c r="G13" s="50">
        <f t="shared" si="2"/>
        <v>27874813</v>
      </c>
      <c r="H13" s="50">
        <f t="shared" si="2"/>
        <v>34120747</v>
      </c>
      <c r="I13" s="50">
        <f t="shared" si="2"/>
        <v>34120747</v>
      </c>
      <c r="J13" s="50">
        <f t="shared" si="2"/>
        <v>34120747</v>
      </c>
      <c r="K13" s="50">
        <f t="shared" si="2"/>
        <v>34120747</v>
      </c>
      <c r="L13" s="50">
        <f t="shared" si="2"/>
        <v>34120747</v>
      </c>
      <c r="M13" s="50">
        <f t="shared" si="2"/>
        <v>34120747</v>
      </c>
      <c r="N13" s="50">
        <f t="shared" si="2"/>
        <v>34120747</v>
      </c>
      <c r="O13" s="39">
        <f t="shared" si="2"/>
        <v>68241494</v>
      </c>
    </row>
    <row r="14" spans="1:15" ht="15" customHeight="1" x14ac:dyDescent="0.2">
      <c r="B14" s="37" t="s">
        <v>97</v>
      </c>
      <c r="C14" s="51">
        <f t="shared" ref="C14:N14" si="3">(C13-($C$4*(COLUMN()-2)/12))/($C$4*(COLUMN()-2)/12)</f>
        <v>-9.5742493074792295E-2</v>
      </c>
      <c r="D14" s="51">
        <f t="shared" si="3"/>
        <v>-9.5390803324099771E-2</v>
      </c>
      <c r="E14" s="51">
        <f t="shared" si="3"/>
        <v>-7.1979335180055407E-2</v>
      </c>
      <c r="F14" s="51">
        <f t="shared" si="3"/>
        <v>-6.0882867036011132E-2</v>
      </c>
      <c r="G14" s="51">
        <f t="shared" si="3"/>
        <v>-7.3413418282548437E-2</v>
      </c>
      <c r="H14" s="51">
        <f t="shared" si="3"/>
        <v>-5.4826952908587259E-2</v>
      </c>
      <c r="I14" s="51">
        <f t="shared" si="3"/>
        <v>-0.18985167392164617</v>
      </c>
      <c r="J14" s="51">
        <f t="shared" si="3"/>
        <v>-0.2911202146814405</v>
      </c>
      <c r="K14" s="51">
        <f t="shared" si="3"/>
        <v>-0.36988463527239152</v>
      </c>
      <c r="L14" s="51">
        <f t="shared" si="3"/>
        <v>-0.43289617174515233</v>
      </c>
      <c r="M14" s="51">
        <f t="shared" si="3"/>
        <v>-0.4844510652228658</v>
      </c>
      <c r="N14" s="51">
        <f t="shared" si="3"/>
        <v>-0.52741347645429359</v>
      </c>
      <c r="O14" s="42">
        <f t="shared" ref="O14" si="4">IF($C$4=0,"-",(O13-$C$4)/$C$4)</f>
        <v>-5.4826952908587259E-2</v>
      </c>
    </row>
    <row r="16" spans="1:15" ht="15" customHeight="1" x14ac:dyDescent="0.2">
      <c r="B16" s="1" t="s">
        <v>83</v>
      </c>
    </row>
    <row r="17" spans="2:7" ht="15" customHeight="1" x14ac:dyDescent="0.2">
      <c r="B17" s="4" t="s">
        <v>98</v>
      </c>
      <c r="G17" s="24">
        <f>IF(C4=0,"-",(O9-C4)/C4)</f>
        <v>-0.52741347645429359</v>
      </c>
    </row>
    <row r="18" spans="2:7" ht="15" customHeight="1" x14ac:dyDescent="0.2">
      <c r="B18" s="4" t="s">
        <v>99</v>
      </c>
      <c r="G18" s="24">
        <f>IF(O9=0,"-",O11/O9)</f>
        <v>0.48779084467289063</v>
      </c>
    </row>
    <row r="19" spans="2:7" ht="15" customHeight="1" x14ac:dyDescent="0.2">
      <c r="B19" s="37" t="s">
        <v>86</v>
      </c>
      <c r="D19" s="11" t="s">
        <v>87</v>
      </c>
      <c r="G19" s="21">
        <v>0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5042"/>
  </sheetPr>
  <dimension ref="A1:E19"/>
  <sheetViews>
    <sheetView zoomScaleNormal="100" workbookViewId="0">
      <selection sqref="A1:E1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4" width="20" customWidth="1"/>
    <col min="5" max="5" width="30" customWidth="1"/>
  </cols>
  <sheetData>
    <row r="1" spans="1:5" ht="36" customHeight="1" x14ac:dyDescent="0.2">
      <c r="A1" s="82" t="s">
        <v>100</v>
      </c>
      <c r="B1" s="82"/>
      <c r="C1" s="82"/>
      <c r="D1" s="82"/>
      <c r="E1" s="82"/>
    </row>
    <row r="2" spans="1:5" ht="15" customHeight="1" x14ac:dyDescent="0.2">
      <c r="A2" s="83" t="s">
        <v>101</v>
      </c>
      <c r="B2" s="83"/>
      <c r="C2" s="83"/>
      <c r="D2" s="83"/>
      <c r="E2" s="83"/>
    </row>
    <row r="4" spans="1:5" ht="15" customHeight="1" x14ac:dyDescent="0.2">
      <c r="B4" s="1" t="s">
        <v>102</v>
      </c>
    </row>
    <row r="5" spans="1:5" ht="26.25" customHeight="1" x14ac:dyDescent="0.2">
      <c r="B5" s="52" t="s">
        <v>103</v>
      </c>
      <c r="C5" s="52" t="s">
        <v>104</v>
      </c>
      <c r="D5" s="52" t="s">
        <v>105</v>
      </c>
      <c r="E5" s="52" t="s">
        <v>106</v>
      </c>
    </row>
    <row r="6" spans="1:5" ht="15" customHeight="1" x14ac:dyDescent="0.2">
      <c r="B6" s="53"/>
      <c r="C6" s="53"/>
      <c r="D6" s="53"/>
      <c r="E6" s="53"/>
    </row>
    <row r="7" spans="1:5" ht="15" customHeight="1" x14ac:dyDescent="0.2">
      <c r="B7" s="53"/>
      <c r="C7" s="53"/>
      <c r="D7" s="53"/>
      <c r="E7" s="53"/>
    </row>
    <row r="8" spans="1:5" ht="15" customHeight="1" x14ac:dyDescent="0.2">
      <c r="B8" s="53"/>
      <c r="C8" s="53"/>
      <c r="D8" s="53"/>
      <c r="E8" s="53"/>
    </row>
    <row r="9" spans="1:5" ht="15" customHeight="1" x14ac:dyDescent="0.2">
      <c r="B9" s="53"/>
      <c r="C9" s="53"/>
      <c r="D9" s="53"/>
      <c r="E9" s="53"/>
    </row>
    <row r="10" spans="1:5" ht="15" customHeight="1" x14ac:dyDescent="0.2">
      <c r="B10" s="9" t="s">
        <v>107</v>
      </c>
      <c r="D10" s="45">
        <v>0</v>
      </c>
      <c r="E10" s="11" t="s">
        <v>108</v>
      </c>
    </row>
    <row r="11" spans="1:5" ht="15" customHeight="1" x14ac:dyDescent="0.2">
      <c r="B11" t="s">
        <v>109</v>
      </c>
      <c r="D11" s="54">
        <f>IF(D10=0,0,D10/5000)</f>
        <v>0</v>
      </c>
    </row>
    <row r="12" spans="1:5" ht="15" customHeight="1" x14ac:dyDescent="0.2">
      <c r="B12" s="1" t="s">
        <v>110</v>
      </c>
    </row>
    <row r="13" spans="1:5" ht="26.25" customHeight="1" x14ac:dyDescent="0.2">
      <c r="B13" s="52" t="s">
        <v>103</v>
      </c>
      <c r="C13" s="52" t="s">
        <v>104</v>
      </c>
      <c r="D13" s="52" t="s">
        <v>105</v>
      </c>
      <c r="E13" s="52" t="s">
        <v>106</v>
      </c>
    </row>
    <row r="14" spans="1:5" ht="15" customHeight="1" x14ac:dyDescent="0.2">
      <c r="B14" s="53"/>
      <c r="C14" s="53"/>
      <c r="D14" s="53"/>
      <c r="E14" s="53"/>
    </row>
    <row r="15" spans="1:5" ht="15" customHeight="1" x14ac:dyDescent="0.2">
      <c r="B15" s="53"/>
      <c r="C15" s="53"/>
      <c r="D15" s="53"/>
      <c r="E15" s="53"/>
    </row>
    <row r="16" spans="1:5" ht="15" customHeight="1" x14ac:dyDescent="0.2">
      <c r="B16" s="9" t="s">
        <v>107</v>
      </c>
      <c r="D16" s="45">
        <v>0</v>
      </c>
      <c r="E16" s="11" t="s">
        <v>108</v>
      </c>
    </row>
    <row r="17" spans="2:5" ht="15" customHeight="1" x14ac:dyDescent="0.2">
      <c r="B17" t="s">
        <v>109</v>
      </c>
      <c r="D17" s="54">
        <f>IF(D16=0,0,D16/5000)</f>
        <v>0</v>
      </c>
    </row>
    <row r="19" spans="2:5" ht="15" customHeight="1" x14ac:dyDescent="0.2">
      <c r="B19" s="55" t="s">
        <v>111</v>
      </c>
      <c r="C19" s="56"/>
      <c r="D19" s="57">
        <f>D10+D16</f>
        <v>0</v>
      </c>
      <c r="E19" s="58" t="s">
        <v>112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2E46"/>
  </sheetPr>
  <dimension ref="A1:G28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6" width="18" customWidth="1"/>
    <col min="7" max="7" width="24" customWidth="1"/>
  </cols>
  <sheetData>
    <row r="1" spans="1:7" ht="36" customHeight="1" x14ac:dyDescent="0.2">
      <c r="A1" s="84" t="s">
        <v>113</v>
      </c>
      <c r="B1" s="84"/>
      <c r="C1" s="84"/>
      <c r="D1" s="84"/>
      <c r="E1" s="84"/>
      <c r="F1" s="84"/>
      <c r="G1" s="84"/>
    </row>
    <row r="2" spans="1:7" ht="15" customHeight="1" x14ac:dyDescent="0.2">
      <c r="A2" s="85" t="s">
        <v>114</v>
      </c>
      <c r="B2" s="85"/>
      <c r="C2" s="85"/>
      <c r="D2" s="85"/>
      <c r="E2" s="85"/>
      <c r="F2" s="85"/>
      <c r="G2" s="85"/>
    </row>
    <row r="3" spans="1:7" x14ac:dyDescent="0.2">
      <c r="A3" t="s">
        <v>115</v>
      </c>
    </row>
    <row r="4" spans="1:7" ht="26.25" customHeight="1" x14ac:dyDescent="0.2">
      <c r="B4" s="59" t="s">
        <v>115</v>
      </c>
      <c r="C4" s="59" t="s">
        <v>116</v>
      </c>
      <c r="D4" s="59" t="s">
        <v>117</v>
      </c>
      <c r="E4" s="59" t="s">
        <v>118</v>
      </c>
      <c r="F4" s="59" t="s">
        <v>119</v>
      </c>
      <c r="G4" s="59" t="s">
        <v>106</v>
      </c>
    </row>
    <row r="5" spans="1:7" ht="15" customHeight="1" x14ac:dyDescent="0.2">
      <c r="B5" s="38"/>
      <c r="C5" s="21"/>
      <c r="D5" s="23"/>
      <c r="E5" s="60" t="str">
        <f t="shared" ref="E5:E27" si="0">IF(C5=0,"-",C5*D5)</f>
        <v>-</v>
      </c>
      <c r="F5" s="61"/>
      <c r="G5" s="19"/>
    </row>
    <row r="6" spans="1:7" ht="15" customHeight="1" x14ac:dyDescent="0.2">
      <c r="B6" s="62"/>
      <c r="C6" s="27"/>
      <c r="D6" s="28"/>
      <c r="E6" s="63" t="str">
        <f t="shared" si="0"/>
        <v>-</v>
      </c>
      <c r="F6" s="62"/>
      <c r="G6" s="25"/>
    </row>
    <row r="7" spans="1:7" ht="15" customHeight="1" x14ac:dyDescent="0.2">
      <c r="B7" s="38"/>
      <c r="C7" s="21"/>
      <c r="D7" s="23"/>
      <c r="E7" s="60" t="str">
        <f t="shared" si="0"/>
        <v>-</v>
      </c>
      <c r="F7" s="61"/>
      <c r="G7" s="19"/>
    </row>
    <row r="8" spans="1:7" ht="15" customHeight="1" x14ac:dyDescent="0.2">
      <c r="B8" s="62"/>
      <c r="C8" s="27"/>
      <c r="D8" s="28"/>
      <c r="E8" s="63" t="str">
        <f t="shared" si="0"/>
        <v>-</v>
      </c>
      <c r="F8" s="62"/>
      <c r="G8" s="25"/>
    </row>
    <row r="9" spans="1:7" ht="15" customHeight="1" x14ac:dyDescent="0.2">
      <c r="B9" s="38"/>
      <c r="C9" s="21"/>
      <c r="D9" s="23"/>
      <c r="E9" s="60" t="str">
        <f t="shared" si="0"/>
        <v>-</v>
      </c>
      <c r="F9" s="61"/>
      <c r="G9" s="19"/>
    </row>
    <row r="10" spans="1:7" ht="15" customHeight="1" x14ac:dyDescent="0.2">
      <c r="B10" s="62"/>
      <c r="C10" s="27"/>
      <c r="D10" s="28"/>
      <c r="E10" s="63" t="str">
        <f t="shared" si="0"/>
        <v>-</v>
      </c>
      <c r="F10" s="62"/>
      <c r="G10" s="25"/>
    </row>
    <row r="11" spans="1:7" ht="15" customHeight="1" x14ac:dyDescent="0.2">
      <c r="B11" s="38"/>
      <c r="C11" s="21"/>
      <c r="D11" s="23"/>
      <c r="E11" s="60" t="str">
        <f t="shared" si="0"/>
        <v>-</v>
      </c>
      <c r="F11" s="61"/>
      <c r="G11" s="19"/>
    </row>
    <row r="12" spans="1:7" ht="15" customHeight="1" x14ac:dyDescent="0.2">
      <c r="B12" s="62"/>
      <c r="C12" s="27"/>
      <c r="D12" s="28"/>
      <c r="E12" s="63" t="str">
        <f t="shared" si="0"/>
        <v>-</v>
      </c>
      <c r="F12" s="62"/>
      <c r="G12" s="25"/>
    </row>
    <row r="13" spans="1:7" ht="15" customHeight="1" x14ac:dyDescent="0.2">
      <c r="B13" s="38"/>
      <c r="C13" s="21"/>
      <c r="D13" s="23"/>
      <c r="E13" s="60" t="str">
        <f t="shared" si="0"/>
        <v>-</v>
      </c>
      <c r="F13" s="61"/>
      <c r="G13" s="19"/>
    </row>
    <row r="14" spans="1:7" ht="15" customHeight="1" x14ac:dyDescent="0.2">
      <c r="B14" s="62"/>
      <c r="C14" s="27"/>
      <c r="D14" s="28"/>
      <c r="E14" s="63" t="str">
        <f t="shared" si="0"/>
        <v>-</v>
      </c>
      <c r="F14" s="62"/>
      <c r="G14" s="25"/>
    </row>
    <row r="15" spans="1:7" ht="15" customHeight="1" x14ac:dyDescent="0.2">
      <c r="B15" s="38"/>
      <c r="C15" s="21"/>
      <c r="D15" s="23"/>
      <c r="E15" s="60" t="str">
        <f t="shared" si="0"/>
        <v>-</v>
      </c>
      <c r="F15" s="61"/>
      <c r="G15" s="19"/>
    </row>
    <row r="16" spans="1:7" ht="15" customHeight="1" x14ac:dyDescent="0.2">
      <c r="B16" s="62"/>
      <c r="C16" s="27"/>
      <c r="D16" s="28"/>
      <c r="E16" s="63" t="str">
        <f t="shared" si="0"/>
        <v>-</v>
      </c>
      <c r="F16" s="62"/>
      <c r="G16" s="25"/>
    </row>
    <row r="17" spans="2:7" ht="15" customHeight="1" x14ac:dyDescent="0.2">
      <c r="B17" s="38"/>
      <c r="C17" s="21"/>
      <c r="D17" s="23"/>
      <c r="E17" s="60" t="str">
        <f t="shared" si="0"/>
        <v>-</v>
      </c>
      <c r="F17" s="61"/>
      <c r="G17" s="19"/>
    </row>
    <row r="18" spans="2:7" ht="15" customHeight="1" x14ac:dyDescent="0.2">
      <c r="B18" s="62"/>
      <c r="C18" s="27"/>
      <c r="D18" s="28"/>
      <c r="E18" s="63" t="str">
        <f t="shared" si="0"/>
        <v>-</v>
      </c>
      <c r="F18" s="62"/>
      <c r="G18" s="25"/>
    </row>
    <row r="19" spans="2:7" ht="15" customHeight="1" x14ac:dyDescent="0.2">
      <c r="B19" s="38"/>
      <c r="C19" s="21"/>
      <c r="D19" s="23"/>
      <c r="E19" s="60" t="str">
        <f t="shared" si="0"/>
        <v>-</v>
      </c>
      <c r="F19" s="61"/>
      <c r="G19" s="19"/>
    </row>
    <row r="20" spans="2:7" ht="15" customHeight="1" x14ac:dyDescent="0.2">
      <c r="B20" s="62"/>
      <c r="C20" s="27"/>
      <c r="D20" s="28"/>
      <c r="E20" s="63" t="str">
        <f t="shared" si="0"/>
        <v>-</v>
      </c>
      <c r="F20" s="62"/>
      <c r="G20" s="25"/>
    </row>
    <row r="21" spans="2:7" ht="15" customHeight="1" x14ac:dyDescent="0.2">
      <c r="B21" s="38"/>
      <c r="C21" s="21"/>
      <c r="D21" s="23"/>
      <c r="E21" s="60" t="str">
        <f t="shared" si="0"/>
        <v>-</v>
      </c>
      <c r="F21" s="61"/>
      <c r="G21" s="19"/>
    </row>
    <row r="22" spans="2:7" ht="15" customHeight="1" x14ac:dyDescent="0.2">
      <c r="B22" s="62"/>
      <c r="C22" s="27"/>
      <c r="D22" s="28"/>
      <c r="E22" s="63" t="str">
        <f t="shared" si="0"/>
        <v>-</v>
      </c>
      <c r="F22" s="62"/>
      <c r="G22" s="25"/>
    </row>
    <row r="23" spans="2:7" ht="15" customHeight="1" x14ac:dyDescent="0.2">
      <c r="B23" s="38"/>
      <c r="C23" s="21"/>
      <c r="D23" s="23"/>
      <c r="E23" s="60" t="str">
        <f t="shared" si="0"/>
        <v>-</v>
      </c>
      <c r="F23" s="61"/>
      <c r="G23" s="19"/>
    </row>
    <row r="24" spans="2:7" ht="15" customHeight="1" x14ac:dyDescent="0.2">
      <c r="B24" s="62"/>
      <c r="C24" s="27"/>
      <c r="D24" s="28"/>
      <c r="E24" s="63" t="str">
        <f t="shared" si="0"/>
        <v>-</v>
      </c>
      <c r="F24" s="62"/>
      <c r="G24" s="25"/>
    </row>
    <row r="25" spans="2:7" ht="15" customHeight="1" x14ac:dyDescent="0.2">
      <c r="B25" s="38"/>
      <c r="C25" s="21"/>
      <c r="D25" s="23"/>
      <c r="E25" s="60" t="str">
        <f t="shared" si="0"/>
        <v>-</v>
      </c>
      <c r="F25" s="61"/>
      <c r="G25" s="19"/>
    </row>
    <row r="26" spans="2:7" ht="15" customHeight="1" x14ac:dyDescent="0.2">
      <c r="B26" s="62"/>
      <c r="C26" s="27"/>
      <c r="D26" s="28"/>
      <c r="E26" s="63" t="str">
        <f t="shared" si="0"/>
        <v>-</v>
      </c>
      <c r="F26" s="62"/>
      <c r="G26" s="25"/>
    </row>
    <row r="27" spans="2:7" ht="15" customHeight="1" x14ac:dyDescent="0.2">
      <c r="B27" s="38"/>
      <c r="C27" s="21"/>
      <c r="D27" s="23"/>
      <c r="E27" s="60" t="str">
        <f t="shared" si="0"/>
        <v>-</v>
      </c>
      <c r="F27" s="61"/>
      <c r="G27" s="19"/>
    </row>
    <row r="28" spans="2:7" ht="15" customHeight="1" x14ac:dyDescent="0.2">
      <c r="B28" s="64" t="s">
        <v>120</v>
      </c>
      <c r="C28" s="65"/>
      <c r="D28" s="65"/>
      <c r="E28" s="66">
        <f>SUM(E5:E27)</f>
        <v>0</v>
      </c>
      <c r="F28" s="65"/>
      <c r="G28" s="65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"/>
  <sheetViews>
    <sheetView topLeftCell="A18" zoomScaleNormal="100" workbookViewId="0">
      <selection activeCell="C32" sqref="C32"/>
    </sheetView>
  </sheetViews>
  <sheetFormatPr baseColWidth="10" defaultColWidth="8.6640625" defaultRowHeight="15" x14ac:dyDescent="0.2"/>
  <cols>
    <col min="1" max="1" width="8" customWidth="1"/>
    <col min="2" max="2" width="14" customWidth="1"/>
    <col min="3" max="3" width="35" customWidth="1"/>
    <col min="4" max="4" width="25" customWidth="1"/>
  </cols>
  <sheetData>
    <row r="1" spans="1:4" ht="30" customHeight="1" x14ac:dyDescent="0.2">
      <c r="A1" s="86" t="s">
        <v>121</v>
      </c>
      <c r="B1" s="86"/>
      <c r="C1" s="86"/>
      <c r="D1" s="86"/>
    </row>
    <row r="2" spans="1:4" ht="19.5" customHeight="1" x14ac:dyDescent="0.2">
      <c r="A2" s="87" t="s">
        <v>122</v>
      </c>
      <c r="B2" s="87"/>
      <c r="C2" s="87"/>
      <c r="D2" s="87"/>
    </row>
    <row r="3" spans="1:4" ht="7.5" customHeight="1" x14ac:dyDescent="0.2"/>
    <row r="4" spans="1:4" ht="21.75" customHeight="1" x14ac:dyDescent="0.2">
      <c r="A4" s="67" t="s">
        <v>123</v>
      </c>
      <c r="B4" s="67" t="s">
        <v>104</v>
      </c>
      <c r="C4" s="67" t="s">
        <v>124</v>
      </c>
      <c r="D4" s="67" t="s">
        <v>125</v>
      </c>
    </row>
    <row r="5" spans="1:4" x14ac:dyDescent="0.2">
      <c r="A5" s="68">
        <v>2025</v>
      </c>
      <c r="B5" s="69">
        <v>45771</v>
      </c>
      <c r="C5" s="70" t="s">
        <v>126</v>
      </c>
      <c r="D5" s="70" t="s">
        <v>127</v>
      </c>
    </row>
    <row r="6" spans="1:4" x14ac:dyDescent="0.2">
      <c r="A6" s="71">
        <v>2025</v>
      </c>
      <c r="B6" s="72">
        <v>45834</v>
      </c>
      <c r="C6" s="73" t="s">
        <v>128</v>
      </c>
      <c r="D6" s="73" t="s">
        <v>129</v>
      </c>
    </row>
    <row r="7" spans="1:4" x14ac:dyDescent="0.2">
      <c r="A7" s="68">
        <v>2025</v>
      </c>
      <c r="B7" s="69">
        <v>45855</v>
      </c>
      <c r="C7" s="70" t="s">
        <v>130</v>
      </c>
      <c r="D7" s="70" t="s">
        <v>131</v>
      </c>
    </row>
    <row r="8" spans="1:4" x14ac:dyDescent="0.2">
      <c r="A8" s="71">
        <v>2025</v>
      </c>
      <c r="B8" s="72">
        <v>45898</v>
      </c>
      <c r="C8" s="73" t="s">
        <v>132</v>
      </c>
      <c r="D8" s="73" t="s">
        <v>133</v>
      </c>
    </row>
    <row r="9" spans="1:4" x14ac:dyDescent="0.2">
      <c r="A9" s="68">
        <v>2025</v>
      </c>
      <c r="B9" s="69">
        <v>45904</v>
      </c>
      <c r="C9" s="70" t="s">
        <v>134</v>
      </c>
      <c r="D9" s="70" t="s">
        <v>135</v>
      </c>
    </row>
    <row r="10" spans="1:4" x14ac:dyDescent="0.2">
      <c r="A10" s="71">
        <v>2025</v>
      </c>
      <c r="B10" s="72">
        <v>45915</v>
      </c>
      <c r="C10" s="73" t="s">
        <v>136</v>
      </c>
      <c r="D10" s="73" t="s">
        <v>129</v>
      </c>
    </row>
    <row r="11" spans="1:4" x14ac:dyDescent="0.2">
      <c r="A11" s="68">
        <v>2025</v>
      </c>
      <c r="B11" s="69">
        <v>45915</v>
      </c>
      <c r="C11" s="70" t="s">
        <v>137</v>
      </c>
      <c r="D11" s="70" t="s">
        <v>135</v>
      </c>
    </row>
    <row r="12" spans="1:4" x14ac:dyDescent="0.2">
      <c r="A12" s="71">
        <v>2025</v>
      </c>
      <c r="B12" s="72">
        <v>45960</v>
      </c>
      <c r="C12" s="73" t="s">
        <v>138</v>
      </c>
      <c r="D12" s="73" t="s">
        <v>135</v>
      </c>
    </row>
    <row r="13" spans="1:4" x14ac:dyDescent="0.2">
      <c r="A13" s="68">
        <v>2025</v>
      </c>
      <c r="B13" s="69">
        <v>45960</v>
      </c>
      <c r="C13" s="70" t="s">
        <v>139</v>
      </c>
      <c r="D13" s="70" t="s">
        <v>140</v>
      </c>
    </row>
    <row r="14" spans="1:4" x14ac:dyDescent="0.2">
      <c r="A14" s="71">
        <v>2025</v>
      </c>
      <c r="B14" s="72">
        <v>45960</v>
      </c>
      <c r="C14" s="73" t="s">
        <v>141</v>
      </c>
      <c r="D14" s="73" t="s">
        <v>140</v>
      </c>
    </row>
    <row r="15" spans="1:4" x14ac:dyDescent="0.2">
      <c r="A15" s="68">
        <v>2025</v>
      </c>
      <c r="B15" s="69">
        <v>45961</v>
      </c>
      <c r="C15" s="70" t="s">
        <v>142</v>
      </c>
      <c r="D15" s="70" t="s">
        <v>133</v>
      </c>
    </row>
    <row r="16" spans="1:4" x14ac:dyDescent="0.2">
      <c r="A16" s="71">
        <v>2025</v>
      </c>
      <c r="B16" s="72">
        <v>45964</v>
      </c>
      <c r="C16" s="73" t="s">
        <v>143</v>
      </c>
      <c r="D16" s="73" t="s">
        <v>144</v>
      </c>
    </row>
    <row r="17" spans="1:4" x14ac:dyDescent="0.2">
      <c r="A17" s="68">
        <v>2025</v>
      </c>
      <c r="B17" s="69">
        <v>45965</v>
      </c>
      <c r="C17" s="70" t="s">
        <v>145</v>
      </c>
      <c r="D17" s="70"/>
    </row>
    <row r="18" spans="1:4" x14ac:dyDescent="0.2">
      <c r="A18" s="71">
        <v>2025</v>
      </c>
      <c r="B18" s="72">
        <v>45966</v>
      </c>
      <c r="C18" s="73" t="s">
        <v>146</v>
      </c>
      <c r="D18" s="73" t="s">
        <v>129</v>
      </c>
    </row>
    <row r="19" spans="1:4" x14ac:dyDescent="0.2">
      <c r="A19" s="68">
        <v>2025</v>
      </c>
      <c r="B19" s="69">
        <v>45967</v>
      </c>
      <c r="C19" s="70" t="s">
        <v>147</v>
      </c>
      <c r="D19" s="70" t="s">
        <v>140</v>
      </c>
    </row>
    <row r="20" spans="1:4" x14ac:dyDescent="0.2">
      <c r="A20" s="71">
        <v>2025</v>
      </c>
      <c r="B20" s="72">
        <v>45971</v>
      </c>
      <c r="C20" s="73" t="s">
        <v>148</v>
      </c>
      <c r="D20" s="73" t="s">
        <v>140</v>
      </c>
    </row>
    <row r="21" spans="1:4" x14ac:dyDescent="0.2">
      <c r="A21" s="68">
        <v>2025</v>
      </c>
      <c r="B21" s="69">
        <v>45973</v>
      </c>
      <c r="C21" s="70" t="s">
        <v>149</v>
      </c>
      <c r="D21" s="70" t="s">
        <v>129</v>
      </c>
    </row>
    <row r="22" spans="1:4" x14ac:dyDescent="0.2">
      <c r="A22" s="71">
        <v>2025</v>
      </c>
      <c r="B22" s="72">
        <v>45979</v>
      </c>
      <c r="C22" s="73" t="s">
        <v>150</v>
      </c>
      <c r="D22" s="73" t="s">
        <v>133</v>
      </c>
    </row>
    <row r="23" spans="1:4" x14ac:dyDescent="0.2">
      <c r="A23" s="68">
        <v>2025</v>
      </c>
      <c r="B23" s="69">
        <v>45980</v>
      </c>
      <c r="C23" s="70" t="s">
        <v>151</v>
      </c>
      <c r="D23" s="70" t="s">
        <v>140</v>
      </c>
    </row>
    <row r="24" spans="1:4" x14ac:dyDescent="0.2">
      <c r="A24" s="71">
        <v>2025</v>
      </c>
      <c r="B24" s="72">
        <v>45994</v>
      </c>
      <c r="C24" s="73" t="s">
        <v>152</v>
      </c>
      <c r="D24" s="73" t="s">
        <v>140</v>
      </c>
    </row>
    <row r="25" spans="1:4" x14ac:dyDescent="0.2">
      <c r="A25" s="68">
        <v>2026</v>
      </c>
      <c r="B25" s="69">
        <v>46050</v>
      </c>
      <c r="C25" s="70" t="s">
        <v>153</v>
      </c>
      <c r="D25" s="70" t="s">
        <v>154</v>
      </c>
    </row>
    <row r="26" spans="1:4" x14ac:dyDescent="0.2">
      <c r="A26" s="71">
        <v>2026</v>
      </c>
      <c r="B26" s="72">
        <v>46055</v>
      </c>
      <c r="C26" s="73" t="s">
        <v>155</v>
      </c>
      <c r="D26" s="73" t="s">
        <v>129</v>
      </c>
    </row>
    <row r="27" spans="1:4" x14ac:dyDescent="0.2">
      <c r="A27" s="68">
        <v>2026</v>
      </c>
      <c r="B27" s="69">
        <v>46057</v>
      </c>
      <c r="C27" s="70" t="s">
        <v>156</v>
      </c>
      <c r="D27" s="70"/>
    </row>
    <row r="28" spans="1:4" x14ac:dyDescent="0.2">
      <c r="A28" s="68">
        <v>2026</v>
      </c>
      <c r="B28" s="69">
        <v>46066</v>
      </c>
      <c r="C28" s="70" t="s">
        <v>157</v>
      </c>
      <c r="D28" s="70" t="s">
        <v>127</v>
      </c>
    </row>
    <row r="29" spans="1:4" x14ac:dyDescent="0.2">
      <c r="A29" s="68">
        <v>2026</v>
      </c>
      <c r="B29" s="69">
        <v>46069</v>
      </c>
      <c r="C29" s="70" t="s">
        <v>158</v>
      </c>
      <c r="D29" s="70" t="s">
        <v>159</v>
      </c>
    </row>
    <row r="30" spans="1:4" x14ac:dyDescent="0.2">
      <c r="A30" s="68">
        <v>2026</v>
      </c>
      <c r="B30" s="69">
        <v>46070</v>
      </c>
      <c r="C30" s="70" t="s">
        <v>160</v>
      </c>
      <c r="D30" s="70" t="s">
        <v>127</v>
      </c>
    </row>
    <row r="31" spans="1:4" x14ac:dyDescent="0.2">
      <c r="A31" s="68">
        <v>2026</v>
      </c>
      <c r="B31" s="69">
        <v>46084</v>
      </c>
      <c r="C31" s="70" t="s">
        <v>57</v>
      </c>
      <c r="D31" s="70" t="s">
        <v>161</v>
      </c>
    </row>
    <row r="32" spans="1:4" x14ac:dyDescent="0.2">
      <c r="A32" s="68">
        <v>2026</v>
      </c>
      <c r="B32" s="69">
        <v>46086</v>
      </c>
      <c r="C32" s="70" t="s">
        <v>162</v>
      </c>
      <c r="D32" s="70" t="s">
        <v>140</v>
      </c>
    </row>
    <row r="33" spans="1:4" x14ac:dyDescent="0.2">
      <c r="A33" s="68">
        <v>2026</v>
      </c>
      <c r="B33" s="69">
        <v>46093</v>
      </c>
      <c r="C33" s="70" t="s">
        <v>163</v>
      </c>
      <c r="D33" s="70" t="s">
        <v>129</v>
      </c>
    </row>
    <row r="34" spans="1:4" x14ac:dyDescent="0.2">
      <c r="A34" s="68">
        <v>2026</v>
      </c>
      <c r="B34" s="69">
        <v>46114</v>
      </c>
      <c r="C34" s="70" t="s">
        <v>164</v>
      </c>
      <c r="D34" s="70" t="s">
        <v>165</v>
      </c>
    </row>
    <row r="35" spans="1:4" x14ac:dyDescent="0.2">
      <c r="A35" s="68">
        <v>2026</v>
      </c>
      <c r="B35" s="69">
        <v>46118</v>
      </c>
      <c r="C35" s="70" t="s">
        <v>166</v>
      </c>
      <c r="D35" s="70" t="s">
        <v>127</v>
      </c>
    </row>
    <row r="36" spans="1:4" x14ac:dyDescent="0.2">
      <c r="A36">
        <v>2026</v>
      </c>
      <c r="B36" s="74">
        <v>46154</v>
      </c>
      <c r="C36" t="s">
        <v>167</v>
      </c>
      <c r="D36" t="s">
        <v>140</v>
      </c>
    </row>
    <row r="37" spans="1:4" x14ac:dyDescent="0.2">
      <c r="A37">
        <v>2026</v>
      </c>
      <c r="B37" s="74">
        <v>46155</v>
      </c>
      <c r="C37" t="s">
        <v>168</v>
      </c>
      <c r="D37" t="s">
        <v>127</v>
      </c>
    </row>
    <row r="38" spans="1:4" x14ac:dyDescent="0.2">
      <c r="A38">
        <v>2026</v>
      </c>
      <c r="B38" s="74">
        <v>46185</v>
      </c>
      <c r="C38" t="s">
        <v>169</v>
      </c>
      <c r="D38" t="s">
        <v>127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Comp 1 - BoB</vt:lpstr>
      <vt:lpstr>Comp 2 - Region</vt:lpstr>
      <vt:lpstr>Comp 3 - Strategic</vt:lpstr>
      <vt:lpstr>Commissions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O'Hara</cp:lastModifiedBy>
  <cp:revision>0</cp:revision>
  <dcterms:created xsi:type="dcterms:W3CDTF">2026-02-12T17:10:56Z</dcterms:created>
  <dcterms:modified xsi:type="dcterms:W3CDTF">2026-07-14T20:28:38Z</dcterms:modified>
  <dc:language>en-US</dc:language>
</cp:coreProperties>
</file>