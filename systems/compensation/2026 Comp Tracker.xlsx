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mp 1 - BoB" sheetId="2" state="visible" r:id="rId4"/>
    <sheet name="Comp 2 - Region" sheetId="3" state="visible" r:id="rId5"/>
    <sheet name="Comp 3 - Strategic" sheetId="4" state="visible" r:id="rId6"/>
    <sheet name="Commissions" sheetId="5" state="visible" r:id="rId7"/>
    <sheet name="Lead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<sst xmlns="http://schemas.openxmlformats.org/spreadsheetml/2006/main" count="203" uniqueCount="158">
  <si>
    <t xml:space="preserve">2026 REGIONAL DIRECTOR COMPENSATION TRACKER</t>
  </si>
  <si>
    <t xml:space="preserve">One Texas – David O'Hara  |  Version 2.1  |  February 10, 2026</t>
  </si>
  <si>
    <t xml:space="preserve">COMPENSATION SUMMARY</t>
  </si>
  <si>
    <t xml:space="preserve">Base Salary</t>
  </si>
  <si>
    <t xml:space="preserve">Component 1: Book of Business Bonus</t>
  </si>
  <si>
    <t xml:space="preserve">Component 2: Regional Growth Bonus</t>
  </si>
  <si>
    <t xml:space="preserve">Component 3: Strategic Impact Bonus</t>
  </si>
  <si>
    <t xml:space="preserve">Commission Earnings (YTD)</t>
  </si>
  <si>
    <t xml:space="preserve">TOTAL COMPENSATION (YTD)</t>
  </si>
  <si>
    <t xml:space="preserve">On-Target Earnings (OTE)</t>
  </si>
  <si>
    <t xml:space="preserve">Base $180K + $100K Bonus OTE</t>
  </si>
  <si>
    <t xml:space="preserve">COMPONENT STATUS AT A GLANCE</t>
  </si>
  <si>
    <t xml:space="preserve">Component</t>
  </si>
  <si>
    <t xml:space="preserve">Target</t>
  </si>
  <si>
    <t xml:space="preserve">Actual YTD</t>
  </si>
  <si>
    <t xml:space="preserve">% to Target</t>
  </si>
  <si>
    <t xml:space="preserve">Status</t>
  </si>
  <si>
    <t xml:space="preserve">1: Book of Business Growth</t>
  </si>
  <si>
    <t xml:space="preserve">≥6% Growth @ 30% GM</t>
  </si>
  <si>
    <t xml:space="preserve">On Track</t>
  </si>
  <si>
    <t xml:space="preserve">2: Regional Growth</t>
  </si>
  <si>
    <t xml:space="preserve">3a: Strategic Partnerships/GMS</t>
  </si>
  <si>
    <t xml:space="preserve">$5,000 max</t>
  </si>
  <si>
    <t xml:space="preserve">3b: Exec Programs/Account Plans</t>
  </si>
  <si>
    <t xml:space="preserve">KEY ASSUMPTIONS &amp; THRESHOLDS</t>
  </si>
  <si>
    <t xml:space="preserve">Minimum 6% YoY growth required on EACH component for ANY bonus payout</t>
  </si>
  <si>
    <t xml:space="preserve">Minimum 30% Gross Margin required on revenue counted toward bonus</t>
  </si>
  <si>
    <t xml:space="preserve">Winnipeg revenue: EXCLUDED from One Texas (pending final confirmation)</t>
  </si>
  <si>
    <t xml:space="preserve">Canadian AT&amp;T revenue: EXCLUDED from One Texas</t>
  </si>
  <si>
    <t xml:space="preserve">Constellation separated from Kimberly accounts</t>
  </si>
  <si>
    <t xml:space="preserve">Focused Accounts Baseline: $14M  |  Total 2025 WD Revenue: $72.2M</t>
  </si>
  <si>
    <t xml:space="preserve">Yellow cells = user inputs  |  Blue text = editable  |  Green = cross-sheet links</t>
  </si>
  <si>
    <t xml:space="preserve">COMPONENT 1: BOOK OF BUSINESS — NAMED ACCOUNT GROWTH</t>
  </si>
  <si>
    <t xml:space="preserve">Threshold: 6% YoY Growth  |  30% Gross Margin Minimum  |  Up to 20 Named Accounts</t>
  </si>
  <si>
    <t xml:space="preserve">Named Account</t>
  </si>
  <si>
    <t xml:space="preserve">2024 Revenue</t>
  </si>
  <si>
    <t xml:space="preserve">2025 Revenue</t>
  </si>
  <si>
    <t xml:space="preserve">2026 Target</t>
  </si>
  <si>
    <t xml:space="preserve">2026 Actual YTD</t>
  </si>
  <si>
    <t xml:space="preserve">Gross Margin %</t>
  </si>
  <si>
    <t xml:space="preserve">YoY Growth %</t>
  </si>
  <si>
    <t xml:space="preserve">7-Eleven</t>
  </si>
  <si>
    <t xml:space="preserve">Charles Schwab &amp; Co</t>
  </si>
  <si>
    <t xml:space="preserve">McKesson Corporation</t>
  </si>
  <si>
    <t xml:space="preserve">Wendy's International, LLC</t>
  </si>
  <si>
    <t xml:space="preserve">Insperity Services, LP</t>
  </si>
  <si>
    <t xml:space="preserve">PriceSmart</t>
  </si>
  <si>
    <t xml:space="preserve">Autodesk, Inc</t>
  </si>
  <si>
    <t xml:space="preserve">Intuit, Inc</t>
  </si>
  <si>
    <t xml:space="preserve">Siemens Industry, Inc.</t>
  </si>
  <si>
    <t xml:space="preserve">ORIX Corporation USA</t>
  </si>
  <si>
    <t xml:space="preserve">AT&amp;T Services, Inc.</t>
  </si>
  <si>
    <t xml:space="preserve">Constellation Energy</t>
  </si>
  <si>
    <t xml:space="preserve">Marriott</t>
  </si>
  <si>
    <t xml:space="preserve">Kirby Corp</t>
  </si>
  <si>
    <t xml:space="preserve">Expedia</t>
  </si>
  <si>
    <t xml:space="preserve">Massimo</t>
  </si>
  <si>
    <t xml:space="preserve">CBRE</t>
  </si>
  <si>
    <t xml:space="preserve">Tenet</t>
  </si>
  <si>
    <t xml:space="preserve">Texas Instruments</t>
  </si>
  <si>
    <t xml:space="preserve">Builders First Source</t>
  </si>
  <si>
    <t xml:space="preserve">TOTALS</t>
  </si>
  <si>
    <t xml:space="preserve">MONTHLY REVENUE TRACKING — BOOK OF BUSINESS</t>
  </si>
  <si>
    <t xml:space="preserve">Metric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</si>
  <si>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</si>
  <si>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</si>
  <si>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</si>
  <si>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</si>
  <si>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</si>
  <si>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</si>
  <si>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</si>
  <si>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</si>
  <si>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</si>
  <si>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</si>
  <si>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</si>
  <si>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</si>
  <si>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YTD Total</t>
  </si>
  <si>
    <t xml:space="preserve">BoB Revenue</t>
  </si>
  <si>
    <t xml:space="preserve">BoB Cost</t>
  </si>
  <si>
    <t xml:space="preserve">BoB Gross Profit</t>
  </si>
  <si>
    <t xml:space="preserve">BoB Gross Margin %</t>
  </si>
  <si>
    <t xml:space="preserve">Cumulative Revenue</t>
  </si>
  <si>
    <t xml:space="preserve">Cumulative Growth %</t>
  </si>
  <si>
    <t xml:space="preserve">BONUS QUALIFICATION</t>
  </si>
  <si>
    <t xml:space="preserve">YoY BoB Growth %</t>
  </si>
  <si>
    <t xml:space="preserve">Weighted Avg GM %</t>
  </si>
  <si>
    <t xml:space="preserve">Bonus Earned (enter amount)</t>
  </si>
  <si>
    <t xml:space="preserve">Enter bonus per comp plan schedule</t>
  </si>
  <si>
    <t xml:space="preserve">COMPONENT 2: ONE TEXAS REGIONAL GROWTH</t>
  </si>
  <si>
    <t xml:space="preserve">Threshold: 6% YoY Growth  |  30% Gross Margin Minimum  |  Excludes Winnipeg &amp; Canadian AT&amp;T</t>
  </si>
  <si>
    <t xml:space="preserve">2025 One Texas Total Revenue</t>
  </si>
  <si>
    <t xml:space="preserve">2025 Focused Accounts Baseline</t>
  </si>
  <si>
    <t xml:space="preserve">6% Growth Target</t>
  </si>
  <si>
    <t xml:space="preserve">Regional Revenue</t>
  </si>
  <si>
    <t xml:space="preserve">Regional Cost</t>
  </si>
  <si>
    <t xml:space="preserve">Regional Gross Profit</t>
  </si>
  <si>
    <t xml:space="preserve">Regional GM %</t>
  </si>
  <si>
    <t xml:space="preserve">Cumulative Growth vs 2025</t>
  </si>
  <si>
    <t xml:space="preserve">Regional YoY Growth %</t>
  </si>
  <si>
    <t xml:space="preserve">Weighted Avg Regional GM %</t>
  </si>
  <si>
    <t xml:space="preserve">COMPONENT 3: STRATEGIC IMPACT BONUS</t>
  </si>
  <si>
    <t xml:space="preserve">OTE: $10,000 Total  |  $2,500–$5,000 per item based on size of impact</t>
  </si>
  <si>
    <t xml:space="preserve">ITEM 1: STRATEGIC PARTNERSHIPS / GMS UTILIZATION</t>
  </si>
  <si>
    <t xml:space="preserve">Initiative / Activity</t>
  </si>
  <si>
    <t xml:space="preserve">Date</t>
  </si>
  <si>
    <t xml:space="preserve">Impact / Revenue Influence</t>
  </si>
  <si>
    <t xml:space="preserve">Notes</t>
  </si>
  <si>
    <t xml:space="preserve">Impact Assessment (put in a sentence)</t>
  </si>
  <si>
    <t xml:space="preserve">$2,500 or $5,000 based on impact</t>
  </si>
  <si>
    <t xml:space="preserve">% to Max ($5,000)</t>
  </si>
  <si>
    <t xml:space="preserve">ITEM 2: EXECUTIVE PROGRAMS / ACCOUNT PLAN ELEVATION</t>
  </si>
  <si>
    <t xml:space="preserve">TOTAL COMPONENT 3 BONUS</t>
  </si>
  <si>
    <t xml:space="preserve">Max $10,000</t>
  </si>
  <si>
    <t xml:space="preserve">COMMISSION TRACKING</t>
  </si>
  <si>
    <t xml:space="preserve">Track commission-eligible deals and payouts</t>
  </si>
  <si>
    <t xml:space="preserve">Deal / Client</t>
  </si>
  <si>
    <t xml:space="preserve">Deal Value</t>
  </si>
  <si>
    <t xml:space="preserve">Commission Rate</t>
  </si>
  <si>
    <t xml:space="preserve">Commission Amt</t>
  </si>
  <si>
    <t xml:space="preserve">Date Closed</t>
  </si>
  <si>
    <t xml:space="preserve">TOTAL COMMISSIONS YTD</t>
  </si>
  <si>
    <t xml:space="preserve">LEADS PASSED</t>
  </si>
  <si>
    <t xml:space="preserve">Leads sourced and passed to sales team members</t>
  </si>
  <si>
    <t xml:space="preserve">Year</t>
  </si>
  <si>
    <t xml:space="preserve">Client</t>
  </si>
  <si>
    <t xml:space="preserve">Passed To</t>
  </si>
  <si>
    <t xml:space="preserve">Alcon</t>
  </si>
  <si>
    <t xml:space="preserve">---</t>
  </si>
  <si>
    <t xml:space="preserve">Rayburn Electric</t>
  </si>
  <si>
    <t xml:space="preserve">Alexander Powell</t>
  </si>
  <si>
    <t xml:space="preserve">Signapay</t>
  </si>
  <si>
    <t xml:space="preserve">Craig Fisher</t>
  </si>
  <si>
    <t xml:space="preserve">Valley Forge</t>
  </si>
  <si>
    <t xml:space="preserve">Rod Patane</t>
  </si>
  <si>
    <t xml:space="preserve">Bridgepointe</t>
  </si>
  <si>
    <t xml:space="preserve">Mark Miesner</t>
  </si>
  <si>
    <t xml:space="preserve">Sports South</t>
  </si>
  <si>
    <t xml:space="preserve">GTS Direct</t>
  </si>
  <si>
    <t xml:space="preserve">Overwatch Rescue</t>
  </si>
  <si>
    <t xml:space="preserve">DART</t>
  </si>
  <si>
    <t xml:space="preserve">Diana Stevens</t>
  </si>
  <si>
    <t xml:space="preserve">Bank of America</t>
  </si>
  <si>
    <t xml:space="preserve">Evestnet</t>
  </si>
  <si>
    <t xml:space="preserve">Loomis</t>
  </si>
  <si>
    <t xml:space="preserve">Vicki Kelly</t>
  </si>
  <si>
    <t xml:space="preserve">AECom</t>
  </si>
  <si>
    <t xml:space="preserve">Bryson Washington</t>
  </si>
  <si>
    <t xml:space="preserve">UMB</t>
  </si>
  <si>
    <t xml:space="preserve">JPMorgan</t>
  </si>
  <si>
    <t xml:space="preserve">Dallas College</t>
  </si>
  <si>
    <t xml:space="preserve">WDG</t>
  </si>
  <si>
    <t xml:space="preserve">BOK</t>
  </si>
  <si>
    <t xml:space="preserve">Capitalize Consulting</t>
  </si>
  <si>
    <t xml:space="preserve">VestMed</t>
  </si>
  <si>
    <t xml:space="preserve">Stephen Johnson</t>
  </si>
  <si>
    <t xml:space="preserve">Veritas Financial Services</t>
  </si>
  <si>
    <t xml:space="preserve">Integrated Financial Settlements</t>
  </si>
  <si>
    <t xml:space="preserve">TOTAL LEADS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</si>
</sst>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0.0%"/>
    <numFmt numFmtId="167" formatCode="0"/>
    <numFmt numFmtId="168" formatCode="mm/dd/yyyy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1E2761"/>
      <name val="Arial"/>
      <family val="0"/>
      <charset val="1"/>
    </font>
    <font>
      <b val="true"/>
      <sz val="12"/>
      <color rgb="FF1E276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E276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2C5F2D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0"/>
      <color rgb="FF2C5F2D"/>
      <name val="Arial"/>
      <family val="0"/>
      <charset val="1"/>
    </font>
    <font>
      <b val="true"/>
      <sz val="11"/>
      <color rgb="FF2C5F2D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065A82"/>
      <name val="Arial"/>
      <family val="0"/>
      <charset val="1"/>
    </font>
    <font>
      <i val="true"/>
      <sz val="9"/>
      <color rgb="FFB85042"/>
      <name val="Arial"/>
      <family val="0"/>
      <charset val="1"/>
    </font>
    <font>
      <b val="true"/>
      <sz val="11"/>
      <color rgb="FFB85042"/>
      <name val="Arial"/>
      <family val="0"/>
      <charset val="1"/>
    </font>
    <font>
      <i val="true"/>
      <sz val="9"/>
      <color rgb="FF6D2E46"/>
      <name val="Arial"/>
      <family val="0"/>
      <charset val="1"/>
    </font>
    <font>
      <b val="true"/>
      <sz val="11"/>
      <color rgb="FF6D2E46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10"/>
      <color rgb="FF2C5F2D"/>
      <name val="Arial"/>
      <family val="0"/>
      <charset val="1"/>
    </font>
    <font>
      <sz val="11"/>
      <color rgb="FF00000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E2761"/>
        <bgColor rgb="FF333399"/>
      </patternFill>
    </fill>
    <fill>
      <patternFill patternType="solid">
        <fgColor rgb="FFCADCFC"/>
        <bgColor rgb="FFE3F2FD"/>
      </patternFill>
    </fill>
    <fill>
      <patternFill patternType="solid">
        <fgColor rgb="FFFFFF00"/>
        <bgColor rgb="FFFFFF00"/>
      </patternFill>
    </fill>
    <fill>
      <patternFill patternType="solid">
        <fgColor rgb="FF2C5F2D"/>
        <bgColor rgb="FF065A82"/>
      </patternFill>
    </fill>
    <fill>
      <patternFill patternType="solid">
        <fgColor rgb="FFE8F5E9"/>
        <bgColor rgb="FFF2F2F2"/>
      </patternFill>
    </fill>
    <fill>
      <patternFill patternType="solid">
        <fgColor rgb="FFF2F2F2"/>
        <bgColor rgb="FFE8F5E9"/>
      </patternFill>
    </fill>
    <fill>
      <patternFill patternType="solid">
        <fgColor rgb="FFFFFFFF"/>
        <bgColor rgb="FFF2F2F2"/>
      </patternFill>
    </fill>
    <fill>
      <patternFill patternType="solid">
        <fgColor rgb="FF065A82"/>
        <bgColor rgb="FF008080"/>
      </patternFill>
    </fill>
    <fill>
      <patternFill patternType="solid">
        <fgColor rgb="FFE3F2FD"/>
        <bgColor rgb="FFE8F5E9"/>
      </patternFill>
    </fill>
    <fill>
      <patternFill patternType="solid">
        <fgColor rgb="FFB85042"/>
        <bgColor rgb="FF993300"/>
      </patternFill>
    </fill>
    <fill>
      <patternFill patternType="solid">
        <fgColor rgb="FFFBE9E7"/>
        <bgColor rgb="FFF8E8EE"/>
      </patternFill>
    </fill>
    <fill>
      <patternFill patternType="solid">
        <fgColor rgb="FF6D2E46"/>
        <bgColor rgb="FF993300"/>
      </patternFill>
    </fill>
    <fill>
      <patternFill patternType="solid">
        <fgColor rgb="FFF8E8EE"/>
        <bgColor rgb="FFFBE9E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E2761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8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1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3" fillId="1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6D2E46"/>
      <rgbColor rgb="FFF2F2F2"/>
      <rgbColor rgb="FFE3F2FD"/>
      <rgbColor rgb="FF660066"/>
      <rgbColor rgb="FFFF8080"/>
      <rgbColor rgb="FF065A82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8E8EE"/>
      <rgbColor rgb="FFFBE9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2761"/>
      <rgbColor rgb="FF339966"/>
      <rgbColor rgb="FF003300"/>
      <rgbColor rgb="FF333300"/>
      <rgbColor rgb="FF993300"/>
      <rgbColor rgb="FFB85042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2761"/>
    <pageSetUpPr fitToPage="false"/>
  </sheetPr>
  <dimension ref="A1:H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7" min="3" style="1" width="18"/>
    <col collapsed="false" customWidth="true" hidden="false" outlineLevel="0" max="8" min="8" style="1" width="3"/>
  </cols>
  <sheetData>
    <row r="1" customFormat="false" ht="39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/>
    <row r="4" customFormat="false" ht="15" hidden="false" customHeight="true" outlineLevel="0" collapsed="false">
      <c r="B4" s="4" t="s">
        <v>2</v>
      </c>
      <c r="C4" s="4"/>
      <c r="D4" s="4"/>
      <c r="E4" s="4"/>
      <c r="F4" s="4"/>
      <c r="G4" s="4"/>
    </row>
    <row r="5" customFormat="false" ht="15" hidden="false" customHeight="true" outlineLevel="0" collapsed="false">
      <c r="B5" s="5" t="s">
        <v>3</v>
      </c>
      <c r="C5" s="6" t="n">
        <v>180000</v>
      </c>
      <c r="D5" s="7"/>
      <c r="E5" s="7"/>
      <c r="F5" s="7"/>
      <c r="G5" s="7"/>
    </row>
    <row r="6" customFormat="false" ht="15" hidden="false" customHeight="true" outlineLevel="0" collapsed="false">
      <c r="B6" s="5" t="s">
        <v>4</v>
      </c>
      <c r="C6" s="8" t="n">
        <f aca="false">'Comp 1 - BoB'!H38</f>
        <v>-1</v>
      </c>
      <c r="D6" s="7"/>
      <c r="E6" s="7"/>
      <c r="F6" s="7"/>
      <c r="G6" s="7"/>
    </row>
    <row r="7" customFormat="false" ht="15" hidden="false" customHeight="true" outlineLevel="0" collapsed="false">
      <c r="B7" s="5" t="s">
        <v>5</v>
      </c>
      <c r="C7" s="8" t="str">
        <f aca="false">'Comp 2 - Region'!G18</f>
        <v>-</v>
      </c>
      <c r="D7" s="7"/>
      <c r="E7" s="7"/>
      <c r="F7" s="7"/>
      <c r="G7" s="7"/>
    </row>
    <row r="8" customFormat="false" ht="15" hidden="false" customHeight="true" outlineLevel="0" collapsed="false">
      <c r="B8" s="5" t="s">
        <v>6</v>
      </c>
      <c r="C8" s="8" t="n">
        <f aca="false">'Comp 3 - Strategic'!D17</f>
        <v>0</v>
      </c>
      <c r="D8" s="7"/>
      <c r="E8" s="7"/>
      <c r="F8" s="7"/>
      <c r="G8" s="7"/>
    </row>
    <row r="9" customFormat="false" ht="15" hidden="false" customHeight="true" outlineLevel="0" collapsed="false">
      <c r="B9" s="5" t="s">
        <v>7</v>
      </c>
      <c r="C9" s="8" t="n">
        <f aca="false">Commissions!E28</f>
        <v>0</v>
      </c>
      <c r="D9" s="7"/>
      <c r="E9" s="7"/>
      <c r="F9" s="7"/>
      <c r="G9" s="7"/>
    </row>
    <row r="10" customFormat="false" ht="15" hidden="false" customHeight="true" outlineLevel="0" collapsed="false">
      <c r="B10" s="9" t="s">
        <v>8</v>
      </c>
      <c r="C10" s="10" t="n">
        <f aca="false">SUM(C5:C9)</f>
        <v>179999</v>
      </c>
      <c r="D10" s="11"/>
      <c r="E10" s="11"/>
      <c r="F10" s="11"/>
      <c r="G10" s="11"/>
    </row>
    <row r="11" customFormat="false" ht="15" hidden="false" customHeight="true" outlineLevel="0" collapsed="false">
      <c r="B11" s="12" t="s">
        <v>9</v>
      </c>
      <c r="C11" s="13" t="n">
        <f aca="false">180000+100000</f>
        <v>280000</v>
      </c>
      <c r="D11" s="14" t="s">
        <v>10</v>
      </c>
    </row>
    <row r="12" customFormat="false" ht="15" hidden="false" customHeight="true" outlineLevel="0" collapsed="false"/>
    <row r="13" customFormat="false" ht="15" hidden="false" customHeight="true" outlineLevel="0" collapsed="false">
      <c r="B13" s="4" t="s">
        <v>11</v>
      </c>
      <c r="C13" s="4"/>
      <c r="D13" s="4"/>
      <c r="E13" s="4"/>
      <c r="F13" s="4"/>
      <c r="G13" s="4"/>
    </row>
    <row r="14" customFormat="false" ht="15" hidden="false" customHeight="true" outlineLevel="0" collapsed="false">
      <c r="B14" s="15" t="s">
        <v>12</v>
      </c>
      <c r="C14" s="15" t="s">
        <v>13</v>
      </c>
      <c r="D14" s="15" t="s">
        <v>14</v>
      </c>
      <c r="E14" s="15" t="s">
        <v>15</v>
      </c>
      <c r="F14" s="15" t="s">
        <v>16</v>
      </c>
    </row>
    <row r="15" customFormat="false" ht="23.25" hidden="false" customHeight="true" outlineLevel="0" collapsed="false">
      <c r="B15" s="16" t="s">
        <v>17</v>
      </c>
      <c r="C15" s="17" t="s">
        <v>18</v>
      </c>
      <c r="D15" s="8" t="n">
        <f aca="false">'Comp 1 - BoB'!H36</f>
        <v>0</v>
      </c>
      <c r="E15" s="18" t="n">
        <f aca="false">'Comp 1 - BoB'!H37</f>
        <v>0</v>
      </c>
      <c r="F15" s="19" t="s">
        <v>19</v>
      </c>
    </row>
    <row r="16" customFormat="false" ht="23.25" hidden="false" customHeight="true" outlineLevel="0" collapsed="false">
      <c r="B16" s="16" t="s">
        <v>20</v>
      </c>
      <c r="C16" s="17" t="s">
        <v>18</v>
      </c>
      <c r="D16" s="8" t="n">
        <f aca="false">'Comp 2 - Region'!G16</f>
        <v>0</v>
      </c>
      <c r="E16" s="18" t="n">
        <f aca="false">'Comp 2 - Region'!G17</f>
        <v>-1</v>
      </c>
      <c r="F16" s="19" t="s">
        <v>19</v>
      </c>
    </row>
    <row r="17" customFormat="false" ht="15" hidden="false" customHeight="true" outlineLevel="0" collapsed="false">
      <c r="B17" s="16" t="s">
        <v>21</v>
      </c>
      <c r="C17" s="17" t="s">
        <v>22</v>
      </c>
      <c r="D17" s="8" t="n">
        <f aca="false">'Comp 3 - Strategic'!D9</f>
        <v>0</v>
      </c>
      <c r="E17" s="18" t="n">
        <f aca="false">'Comp 3 - Strategic'!D10</f>
        <v>0</v>
      </c>
      <c r="F17" s="19" t="s">
        <v>19</v>
      </c>
    </row>
    <row r="18" customFormat="false" ht="15" hidden="false" customHeight="true" outlineLevel="0" collapsed="false">
      <c r="B18" s="16" t="s">
        <v>23</v>
      </c>
      <c r="C18" s="17" t="s">
        <v>22</v>
      </c>
      <c r="D18" s="8" t="n">
        <f aca="false">'Comp 3 - Strategic'!D15</f>
        <v>0</v>
      </c>
      <c r="E18" s="18" t="n">
        <f aca="false">'Comp 3 - Strategic'!D16</f>
        <v>0</v>
      </c>
      <c r="F18" s="19" t="s">
        <v>19</v>
      </c>
    </row>
    <row r="19" customFormat="false" ht="15" hidden="false" customHeight="true" outlineLevel="0" collapsed="false"/>
    <row r="20" customFormat="false" ht="15" hidden="false" customHeight="true" outlineLevel="0" collapsed="false">
      <c r="B20" s="4" t="s">
        <v>24</v>
      </c>
    </row>
    <row r="21" customFormat="false" ht="21.75" hidden="false" customHeight="true" outlineLevel="0" collapsed="false">
      <c r="B21" s="20" t="s">
        <v>25</v>
      </c>
    </row>
    <row r="22" customFormat="false" ht="21.75" hidden="false" customHeight="true" outlineLevel="0" collapsed="false">
      <c r="B22" s="20" t="s">
        <v>26</v>
      </c>
    </row>
    <row r="23" customFormat="false" ht="21.75" hidden="false" customHeight="true" outlineLevel="0" collapsed="false">
      <c r="B23" s="20" t="s">
        <v>27</v>
      </c>
    </row>
    <row r="24" customFormat="false" ht="21.75" hidden="false" customHeight="true" outlineLevel="0" collapsed="false">
      <c r="B24" s="20" t="s">
        <v>28</v>
      </c>
    </row>
    <row r="25" customFormat="false" ht="21.75" hidden="false" customHeight="true" outlineLevel="0" collapsed="false">
      <c r="B25" s="20" t="s">
        <v>29</v>
      </c>
    </row>
    <row r="26" customFormat="false" ht="21.75" hidden="false" customHeight="true" outlineLevel="0" collapsed="false">
      <c r="B26" s="20" t="s">
        <v>30</v>
      </c>
    </row>
    <row r="27" customFormat="false" ht="21.75" hidden="false" customHeight="true" outlineLevel="0" collapsed="false">
      <c r="B27" s="20" t="s">
        <v>31</v>
      </c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</sheetData>
  <mergeCells count="4">
    <mergeCell ref="A1:H1"/>
    <mergeCell ref="A2:H2"/>
    <mergeCell ref="B4:G4"/>
    <mergeCell ref="B13:G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5F2D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15" min="3" style="1" width="15"/>
  </cols>
  <sheetData>
    <row r="1" customFormat="false" ht="36" hidden="false" customHeight="true" outlineLevel="0" collapsed="false">
      <c r="A1" s="21" t="s">
        <v>32</v>
      </c>
      <c r="B1" s="21"/>
      <c r="C1" s="21"/>
      <c r="D1" s="21"/>
      <c r="E1" s="21"/>
      <c r="F1" s="21"/>
      <c r="G1" s="21"/>
      <c r="H1" s="21"/>
    </row>
    <row r="2" customFormat="false" ht="15" hidden="false" customHeight="true" outlineLevel="0" collapsed="false">
      <c r="A2" s="22" t="s">
        <v>33</v>
      </c>
      <c r="B2" s="22"/>
      <c r="C2" s="22"/>
      <c r="D2" s="22"/>
      <c r="E2" s="22"/>
      <c r="F2" s="22"/>
      <c r="G2" s="22"/>
      <c r="H2" s="22"/>
    </row>
    <row r="4" customFormat="false" ht="26.25" hidden="false" customHeight="true" outlineLevel="0" collapsed="false">
      <c r="B4" s="23" t="s">
        <v>34</v>
      </c>
      <c r="C4" s="23" t="s">
        <v>35</v>
      </c>
      <c r="D4" s="23" t="s">
        <v>36</v>
      </c>
      <c r="E4" s="23" t="s">
        <v>37</v>
      </c>
      <c r="F4" s="23" t="s">
        <v>38</v>
      </c>
      <c r="G4" s="23" t="s">
        <v>39</v>
      </c>
      <c r="H4" s="23" t="s">
        <v>40</v>
      </c>
    </row>
    <row r="5" customFormat="false" ht="15" hidden="false" customHeight="true" outlineLevel="0" collapsed="false">
      <c r="B5" s="24" t="s">
        <v>41</v>
      </c>
      <c r="C5" s="25" t="n">
        <v>498160</v>
      </c>
      <c r="D5" s="26" t="n">
        <v>476120</v>
      </c>
      <c r="E5" s="27"/>
      <c r="F5" s="26"/>
      <c r="G5" s="28"/>
      <c r="H5" s="29" t="str">
        <f aca="false">IF(D5=0,"-",IF(F5=0,"-",(F5-D5)/D5))</f>
        <v>-</v>
      </c>
    </row>
    <row r="6" customFormat="false" ht="15" hidden="false" customHeight="true" outlineLevel="0" collapsed="false">
      <c r="B6" s="30" t="s">
        <v>42</v>
      </c>
      <c r="C6" s="31" t="n">
        <v>657574</v>
      </c>
      <c r="D6" s="32" t="n">
        <v>925267</v>
      </c>
      <c r="E6" s="32"/>
      <c r="F6" s="32"/>
      <c r="G6" s="33"/>
      <c r="H6" s="34" t="str">
        <f aca="false">IF(D6=0,"-",IF(F6=0,"-",(F6-D6)/D6))</f>
        <v>-</v>
      </c>
    </row>
    <row r="7" customFormat="false" ht="15" hidden="false" customHeight="true" outlineLevel="0" collapsed="false">
      <c r="B7" s="24" t="s">
        <v>43</v>
      </c>
      <c r="C7" s="25" t="n">
        <v>2064868.31</v>
      </c>
      <c r="D7" s="26" t="n">
        <v>1093108.77</v>
      </c>
      <c r="E7" s="27"/>
      <c r="F7" s="26"/>
      <c r="G7" s="28"/>
      <c r="H7" s="29" t="str">
        <f aca="false">IF(D7=0,"-",IF(F7=0,"-",(F7-D7)/D7))</f>
        <v>-</v>
      </c>
    </row>
    <row r="8" customFormat="false" ht="15" hidden="false" customHeight="true" outlineLevel="0" collapsed="false">
      <c r="B8" s="30" t="s">
        <v>44</v>
      </c>
      <c r="C8" s="31" t="n">
        <v>6244286.32</v>
      </c>
      <c r="D8" s="32" t="n">
        <v>5024642</v>
      </c>
      <c r="E8" s="32"/>
      <c r="F8" s="32"/>
      <c r="G8" s="33"/>
      <c r="H8" s="34" t="str">
        <f aca="false">IF(D8=0,"-",IF(F8=0,"-",(F8-D8)/D8))</f>
        <v>-</v>
      </c>
    </row>
    <row r="9" customFormat="false" ht="15" hidden="false" customHeight="true" outlineLevel="0" collapsed="false">
      <c r="B9" s="24" t="s">
        <v>45</v>
      </c>
      <c r="C9" s="25" t="n">
        <v>30688.62</v>
      </c>
      <c r="D9" s="26" t="n">
        <v>32100</v>
      </c>
      <c r="E9" s="27"/>
      <c r="F9" s="26"/>
      <c r="G9" s="28"/>
      <c r="H9" s="29" t="str">
        <f aca="false">IF(D9=0,"-",IF(F9=0,"-",(F9-D9)/D9))</f>
        <v>-</v>
      </c>
    </row>
    <row r="10" customFormat="false" ht="15" hidden="false" customHeight="true" outlineLevel="0" collapsed="false">
      <c r="B10" s="30" t="s">
        <v>46</v>
      </c>
      <c r="C10" s="31" t="n">
        <v>0</v>
      </c>
      <c r="D10" s="32" t="n">
        <v>628655.41</v>
      </c>
      <c r="E10" s="32"/>
      <c r="F10" s="32"/>
      <c r="G10" s="33"/>
      <c r="H10" s="34" t="str">
        <f aca="false">IF(D10=0,"-",IF(F10=0,"-",(F10-D10)/D10))</f>
        <v>-</v>
      </c>
    </row>
    <row r="11" customFormat="false" ht="15" hidden="false" customHeight="true" outlineLevel="0" collapsed="false">
      <c r="B11" s="24" t="s">
        <v>47</v>
      </c>
      <c r="C11" s="25" t="n">
        <v>1297839.38</v>
      </c>
      <c r="D11" s="26" t="n">
        <v>2760096.23</v>
      </c>
      <c r="E11" s="27"/>
      <c r="F11" s="26"/>
      <c r="G11" s="28"/>
      <c r="H11" s="29" t="str">
        <f aca="false">IF(D11=0,"-",IF(F11=0,"-",(F11-D11)/D11))</f>
        <v>-</v>
      </c>
    </row>
    <row r="12" customFormat="false" ht="15" hidden="false" customHeight="true" outlineLevel="0" collapsed="false">
      <c r="B12" s="30" t="s">
        <v>48</v>
      </c>
      <c r="C12" s="31" t="n">
        <v>307204</v>
      </c>
      <c r="D12" s="32" t="n">
        <v>1004738</v>
      </c>
      <c r="E12" s="32"/>
      <c r="F12" s="32"/>
      <c r="G12" s="33"/>
      <c r="H12" s="34" t="str">
        <f aca="false">IF(D12=0,"-",IF(F12=0,"-",(F12-D12)/D12))</f>
        <v>-</v>
      </c>
    </row>
    <row r="13" customFormat="false" ht="15" hidden="false" customHeight="true" outlineLevel="0" collapsed="false">
      <c r="B13" s="24" t="s">
        <v>49</v>
      </c>
      <c r="C13" s="25" t="n">
        <v>402415.9</v>
      </c>
      <c r="D13" s="26" t="n">
        <v>659367.62</v>
      </c>
      <c r="E13" s="27"/>
      <c r="F13" s="26"/>
      <c r="G13" s="28"/>
      <c r="H13" s="29" t="str">
        <f aca="false">IF(D13=0,"-",IF(F13=0,"-",(F13-D13)/D13))</f>
        <v>-</v>
      </c>
    </row>
    <row r="14" customFormat="false" ht="15" hidden="false" customHeight="true" outlineLevel="0" collapsed="false">
      <c r="B14" s="30" t="s">
        <v>50</v>
      </c>
      <c r="C14" s="31" t="n">
        <v>1116829.26</v>
      </c>
      <c r="D14" s="32" t="n">
        <v>770198.75</v>
      </c>
      <c r="E14" s="32"/>
      <c r="F14" s="32"/>
      <c r="G14" s="33"/>
      <c r="H14" s="34" t="str">
        <f aca="false">IF(D14=0,"-",IF(F14=0,"-",(F14-D14)/D14))</f>
        <v>-</v>
      </c>
    </row>
    <row r="15" customFormat="false" ht="15" hidden="false" customHeight="true" outlineLevel="0" collapsed="false">
      <c r="B15" s="24" t="s">
        <v>51</v>
      </c>
      <c r="C15" s="35" t="n">
        <v>72.92</v>
      </c>
      <c r="D15" s="36" t="n">
        <v>17325</v>
      </c>
      <c r="E15" s="27"/>
      <c r="F15" s="26"/>
      <c r="G15" s="28"/>
      <c r="H15" s="29" t="str">
        <f aca="false">IF(D15=0,"-",IF(F15=0,"-",(F15-D15)/D15))</f>
        <v>-</v>
      </c>
    </row>
    <row r="16" customFormat="false" ht="15" hidden="false" customHeight="true" outlineLevel="0" collapsed="false">
      <c r="B16" s="30" t="s">
        <v>52</v>
      </c>
      <c r="C16" s="31"/>
      <c r="D16" s="32"/>
      <c r="E16" s="32"/>
      <c r="F16" s="32"/>
      <c r="G16" s="33"/>
      <c r="H16" s="34" t="str">
        <f aca="false">IF(D16=0,"-",IF(F16=0,"-",(F16-D16)/D16))</f>
        <v>-</v>
      </c>
    </row>
    <row r="17" customFormat="false" ht="15" hidden="false" customHeight="true" outlineLevel="0" collapsed="false">
      <c r="B17" s="24" t="s">
        <v>53</v>
      </c>
      <c r="C17" s="35"/>
      <c r="D17" s="36"/>
      <c r="E17" s="27"/>
      <c r="F17" s="26"/>
      <c r="G17" s="28"/>
      <c r="H17" s="29" t="str">
        <f aca="false">IF(D17=0,"-",IF(F17=0,"-",(F17-D17)/D17))</f>
        <v>-</v>
      </c>
    </row>
    <row r="18" customFormat="false" ht="15" hidden="false" customHeight="true" outlineLevel="0" collapsed="false">
      <c r="B18" s="30" t="s">
        <v>54</v>
      </c>
      <c r="C18" s="31"/>
      <c r="D18" s="32"/>
      <c r="E18" s="32"/>
      <c r="F18" s="32"/>
      <c r="G18" s="33"/>
      <c r="H18" s="34" t="str">
        <f aca="false">IF(D18=0,"-",IF(F18=0,"-",(F18-D18)/D18))</f>
        <v>-</v>
      </c>
    </row>
    <row r="19" customFormat="false" ht="15" hidden="false" customHeight="true" outlineLevel="0" collapsed="false">
      <c r="B19" s="24" t="s">
        <v>55</v>
      </c>
      <c r="C19" s="35"/>
      <c r="D19" s="36"/>
      <c r="E19" s="27"/>
      <c r="F19" s="26"/>
      <c r="G19" s="28"/>
      <c r="H19" s="29" t="str">
        <f aca="false">IF(D19=0,"-",IF(F19=0,"-",(F19-D19)/D19))</f>
        <v>-</v>
      </c>
    </row>
    <row r="20" customFormat="false" ht="15" hidden="false" customHeight="true" outlineLevel="0" collapsed="false">
      <c r="B20" s="30" t="s">
        <v>56</v>
      </c>
      <c r="C20" s="31"/>
      <c r="D20" s="32"/>
      <c r="E20" s="32"/>
      <c r="F20" s="32"/>
      <c r="G20" s="33"/>
      <c r="H20" s="34" t="str">
        <f aca="false">IF(D20=0,"-",IF(F20=0,"-",(F20-D20)/D20))</f>
        <v>-</v>
      </c>
    </row>
    <row r="21" customFormat="false" ht="15" hidden="false" customHeight="true" outlineLevel="0" collapsed="false">
      <c r="B21" s="24" t="s">
        <v>57</v>
      </c>
      <c r="C21" s="35"/>
      <c r="D21" s="36"/>
      <c r="E21" s="27"/>
      <c r="F21" s="26"/>
      <c r="G21" s="28"/>
      <c r="H21" s="29" t="str">
        <f aca="false">IF(D21=0,"-",IF(F21=0,"-",(F21-D21)/D21))</f>
        <v>-</v>
      </c>
    </row>
    <row r="22" customFormat="false" ht="15" hidden="false" customHeight="true" outlineLevel="0" collapsed="false">
      <c r="B22" s="30" t="s">
        <v>58</v>
      </c>
      <c r="C22" s="31"/>
      <c r="D22" s="32"/>
      <c r="E22" s="32"/>
      <c r="F22" s="32"/>
      <c r="G22" s="33"/>
      <c r="H22" s="34" t="str">
        <f aca="false">IF(D22=0,"-",IF(F22=0,"-",(F22-D22)/D22))</f>
        <v>-</v>
      </c>
    </row>
    <row r="23" customFormat="false" ht="15" hidden="false" customHeight="true" outlineLevel="0" collapsed="false">
      <c r="B23" s="24" t="s">
        <v>59</v>
      </c>
      <c r="C23" s="35"/>
      <c r="D23" s="36"/>
      <c r="E23" s="27"/>
      <c r="F23" s="26"/>
      <c r="G23" s="28"/>
      <c r="H23" s="29" t="str">
        <f aca="false">IF(D23=0,"-",IF(F23=0,"-",(F23-D23)/D23))</f>
        <v>-</v>
      </c>
    </row>
    <row r="24" customFormat="false" ht="15" hidden="false" customHeight="true" outlineLevel="0" collapsed="false">
      <c r="B24" s="30" t="s">
        <v>60</v>
      </c>
      <c r="C24" s="31"/>
      <c r="D24" s="32"/>
      <c r="E24" s="32"/>
      <c r="F24" s="32"/>
      <c r="G24" s="33"/>
      <c r="H24" s="34" t="str">
        <f aca="false">IF(D24=0,"-",IF(F24=0,"-",(F24-D24)/D24))</f>
        <v>-</v>
      </c>
    </row>
    <row r="25" customFormat="false" ht="15" hidden="false" customHeight="true" outlineLevel="0" collapsed="false">
      <c r="B25" s="37" t="s">
        <v>61</v>
      </c>
      <c r="C25" s="38" t="n">
        <f aca="false">SUM(C5:C24)</f>
        <v>12619938.71</v>
      </c>
      <c r="D25" s="39" t="n">
        <f aca="false">SUM(D5:D24)</f>
        <v>13391618.78</v>
      </c>
      <c r="E25" s="39" t="n">
        <f aca="false">SUM(E5:E24)</f>
        <v>0</v>
      </c>
      <c r="F25" s="39" t="n">
        <f aca="false">SUM(F5:F24)</f>
        <v>0</v>
      </c>
      <c r="G25" s="40" t="str">
        <f aca="false">IF(F25=0,"-",SUMPRODUCT(F5:F24,G5:G24)/F25)</f>
        <v>-</v>
      </c>
      <c r="H25" s="40" t="n">
        <f aca="false">IF(D25=0,"-",(F25-D25)/D25)</f>
        <v>-1</v>
      </c>
    </row>
    <row r="28" customFormat="false" ht="15" hidden="false" customHeight="true" outlineLevel="0" collapsed="false">
      <c r="B28" s="4" t="s">
        <v>62</v>
      </c>
      <c r="C28" s="4"/>
      <c r="D28" s="4"/>
      <c r="E28" s="4"/>
      <c r="F28" s="4"/>
      <c r="G28" s="4"/>
      <c r="H28" s="4"/>
      <c r="I28" s="41"/>
    </row>
    <row r="29" customFormat="false" ht="15" hidden="false" customHeight="true" outlineLevel="0" collapsed="false">
      <c r="B29" s="23" t="s">
        <v>63</v>
      </c>
      <c r="D29" s="23" t="s">
        <v>64</v>
      </c>
      <c r="E29" s="23" t="s">
        <v>65</v>
      </c>
      <c r="F29" s="23" t="s">
        <v>66</v>
      </c>
      <c r="G29" s="23" t="s">
        <v>67</v>
      </c>
      <c r="H29" s="23" t="s">
        <v>68</v>
      </c>
      <c r="I29" s="23" t="s">
        <v>69</v>
      </c>
      <c r="J29" s="23" t="s">
        <v>70</v>
      </c>
      <c r="K29" s="23" t="s">
        <v>71</v>
      </c>
      <c r="L29" s="23" t="s">
        <v>72</v>
      </c>
      <c r="M29" s="23" t="s">
        <v>73</v>
      </c>
      <c r="N29" s="23" t="s">
        <v>74</v>
      </c>
      <c r="O29" s="23" t="s">
        <v>75</v>
      </c>
      <c r="P29" s="23" t="s">
        <v>76</v>
      </c>
    </row>
    <row r="30" customFormat="false" ht="15" hidden="false" customHeight="true" outlineLevel="0" collapsed="false">
      <c r="B30" s="42" t="s">
        <v>77</v>
      </c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4" t="n">
        <f aca="false">SUM(C30:N30)</f>
        <v>0</v>
      </c>
    </row>
    <row r="31" customFormat="false" ht="15" hidden="false" customHeight="true" outlineLevel="0" collapsed="false">
      <c r="B31" s="42" t="s">
        <v>78</v>
      </c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4" t="n">
        <f aca="false">SUM(C31:N31)</f>
        <v>0</v>
      </c>
    </row>
    <row r="32" customFormat="false" ht="15" hidden="false" customHeight="true" outlineLevel="0" collapsed="false">
      <c r="B32" s="42" t="s">
        <v>79</v>
      </c>
      <c r="D32" s="45" t="n">
        <f aca="false">C30-C31</f>
        <v>0</v>
      </c>
      <c r="E32" s="45" t="n">
        <f aca="false">D30-D31</f>
        <v>0</v>
      </c>
      <c r="F32" s="45" t="n">
        <f aca="false">E30-E31</f>
        <v>0</v>
      </c>
      <c r="G32" s="45" t="n">
        <f aca="false">F30-F31</f>
        <v>0</v>
      </c>
      <c r="H32" s="45" t="n">
        <f aca="false">G30-G31</f>
        <v>0</v>
      </c>
      <c r="I32" s="45" t="n">
        <f aca="false">H30-H31</f>
        <v>0</v>
      </c>
      <c r="J32" s="45" t="n">
        <f aca="false">I30-I31</f>
        <v>0</v>
      </c>
      <c r="K32" s="45" t="n">
        <f aca="false">J30-J31</f>
        <v>0</v>
      </c>
      <c r="L32" s="45" t="n">
        <f aca="false">K30-K31</f>
        <v>0</v>
      </c>
      <c r="M32" s="45" t="n">
        <f aca="false">L30-L31</f>
        <v>0</v>
      </c>
      <c r="N32" s="45" t="n">
        <f aca="false">M30-M31</f>
        <v>0</v>
      </c>
      <c r="O32" s="45" t="n">
        <f aca="false">N30-N31</f>
        <v>0</v>
      </c>
      <c r="P32" s="44" t="n">
        <f aca="false">O30-O31</f>
        <v>0</v>
      </c>
    </row>
    <row r="33" customFormat="false" ht="15" hidden="false" customHeight="true" outlineLevel="0" collapsed="false">
      <c r="B33" s="42" t="s">
        <v>80</v>
      </c>
      <c r="D33" s="46" t="str">
        <f aca="false">IF(C30=0,"-",C32/C30)</f>
        <v>-</v>
      </c>
      <c r="E33" s="46" t="str">
        <f aca="false">IF(D30=0,"-",D32/D30)</f>
        <v>-</v>
      </c>
      <c r="F33" s="46" t="str">
        <f aca="false">IF(E30=0,"-",E32/E30)</f>
        <v>-</v>
      </c>
      <c r="G33" s="46" t="str">
        <f aca="false">IF(F30=0,"-",F32/F30)</f>
        <v>-</v>
      </c>
      <c r="H33" s="46" t="str">
        <f aca="false">IF(G30=0,"-",G32/G30)</f>
        <v>-</v>
      </c>
      <c r="I33" s="46" t="str">
        <f aca="false">IF(H30=0,"-",H32/H30)</f>
        <v>-</v>
      </c>
      <c r="J33" s="46" t="str">
        <f aca="false">IF(I30=0,"-",I32/I30)</f>
        <v>-</v>
      </c>
      <c r="K33" s="46" t="str">
        <f aca="false">IF(J30=0,"-",J32/J30)</f>
        <v>-</v>
      </c>
      <c r="L33" s="46" t="str">
        <f aca="false">IF(K30=0,"-",K32/K30)</f>
        <v>-</v>
      </c>
      <c r="M33" s="46" t="str">
        <f aca="false">IF(L30=0,"-",L32/L30)</f>
        <v>-</v>
      </c>
      <c r="N33" s="46" t="str">
        <f aca="false">IF(M30=0,"-",M32/M30)</f>
        <v>-</v>
      </c>
      <c r="O33" s="46" t="str">
        <f aca="false">IF(N30=0,"-",N32/N30)</f>
        <v>-</v>
      </c>
      <c r="P33" s="47" t="str">
        <f aca="false">IF(O30=0,"-",O32/O30)</f>
        <v>-</v>
      </c>
    </row>
    <row r="34" customFormat="false" ht="15" hidden="false" customHeight="true" outlineLevel="0" collapsed="false">
      <c r="B34" s="42" t="s">
        <v>81</v>
      </c>
      <c r="D34" s="45" t="n">
        <f aca="false">C30</f>
        <v>0</v>
      </c>
      <c r="E34" s="45" t="n">
        <f aca="false">C34+D30</f>
        <v>0</v>
      </c>
      <c r="F34" s="45" t="n">
        <f aca="false">D34+E30</f>
        <v>0</v>
      </c>
      <c r="G34" s="45" t="n">
        <f aca="false">E34+F30</f>
        <v>0</v>
      </c>
      <c r="H34" s="45" t="n">
        <f aca="false">F34+G30</f>
        <v>0</v>
      </c>
      <c r="I34" s="45" t="n">
        <f aca="false">G34+H30</f>
        <v>0</v>
      </c>
      <c r="J34" s="45" t="n">
        <f aca="false">H34+I30</f>
        <v>0</v>
      </c>
      <c r="K34" s="45" t="n">
        <f aca="false">I34+J30</f>
        <v>0</v>
      </c>
      <c r="L34" s="45" t="n">
        <f aca="false">J34+K30</f>
        <v>0</v>
      </c>
      <c r="M34" s="45" t="n">
        <f aca="false">K34+L30</f>
        <v>0</v>
      </c>
      <c r="N34" s="45" t="n">
        <f aca="false">L34+M30</f>
        <v>0</v>
      </c>
      <c r="O34" s="45" t="n">
        <f aca="false">M34+N30</f>
        <v>0</v>
      </c>
      <c r="P34" s="44" t="n">
        <f aca="false">O30</f>
        <v>0</v>
      </c>
    </row>
    <row r="35" customFormat="false" ht="15" hidden="false" customHeight="true" outlineLevel="0" collapsed="false">
      <c r="B35" s="42" t="s">
        <v>82</v>
      </c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9"/>
    </row>
    <row r="37" customFormat="false" ht="15" hidden="false" customHeight="true" outlineLevel="0" collapsed="false">
      <c r="B37" s="4" t="s">
        <v>83</v>
      </c>
    </row>
    <row r="38" customFormat="false" ht="15" hidden="false" customHeight="true" outlineLevel="0" collapsed="false">
      <c r="B38" s="7" t="s">
        <v>84</v>
      </c>
      <c r="H38" s="29" t="n">
        <f aca="false">H25</f>
        <v>-1</v>
      </c>
    </row>
    <row r="39" customFormat="false" ht="15" hidden="false" customHeight="true" outlineLevel="0" collapsed="false">
      <c r="B39" s="7" t="s">
        <v>85</v>
      </c>
      <c r="H39" s="29" t="str">
        <f aca="false">G25</f>
        <v>-</v>
      </c>
    </row>
    <row r="40" customFormat="false" ht="15" hidden="false" customHeight="true" outlineLevel="0" collapsed="false">
      <c r="B40" s="42" t="s">
        <v>86</v>
      </c>
      <c r="E40" s="14" t="s">
        <v>87</v>
      </c>
      <c r="H40" s="26" t="n">
        <v>0</v>
      </c>
    </row>
  </sheetData>
  <mergeCells count="3">
    <mergeCell ref="A1:H1"/>
    <mergeCell ref="A2:H2"/>
    <mergeCell ref="B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65A82"/>
    <pageSetUpPr fitToPage="false"/>
  </sheetPr>
  <dimension ref="A1: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15" min="3" style="1" width="14"/>
  </cols>
  <sheetData>
    <row r="1" customFormat="false" ht="36" hidden="false" customHeight="true" outlineLevel="0" collapsed="false">
      <c r="A1" s="50" t="s">
        <v>88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customFormat="false" ht="15" hidden="false" customHeight="true" outlineLevel="0" collapsed="false">
      <c r="A2" s="51" t="s">
        <v>89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</row>
    <row r="4" customFormat="false" ht="15" hidden="false" customHeight="true" outlineLevel="0" collapsed="false">
      <c r="B4" s="12" t="s">
        <v>90</v>
      </c>
      <c r="C4" s="52" t="n">
        <v>72200000</v>
      </c>
    </row>
    <row r="5" customFormat="false" ht="15" hidden="false" customHeight="true" outlineLevel="0" collapsed="false">
      <c r="B5" s="12" t="s">
        <v>91</v>
      </c>
      <c r="C5" s="52" t="n">
        <v>14000000</v>
      </c>
    </row>
    <row r="6" customFormat="false" ht="15" hidden="false" customHeight="true" outlineLevel="0" collapsed="false">
      <c r="B6" s="53" t="s">
        <v>92</v>
      </c>
      <c r="C6" s="54" t="n">
        <f aca="false">C4*1.06</f>
        <v>76532000</v>
      </c>
    </row>
    <row r="8" customFormat="false" ht="15" hidden="false" customHeight="true" outlineLevel="0" collapsed="false">
      <c r="B8" s="55" t="s">
        <v>63</v>
      </c>
      <c r="C8" s="55" t="s">
        <v>64</v>
      </c>
      <c r="D8" s="55" t="s">
        <v>65</v>
      </c>
      <c r="E8" s="55" t="s">
        <v>66</v>
      </c>
      <c r="F8" s="55" t="s">
        <v>67</v>
      </c>
      <c r="G8" s="55" t="s">
        <v>68</v>
      </c>
      <c r="H8" s="55" t="s">
        <v>69</v>
      </c>
      <c r="I8" s="55" t="s">
        <v>70</v>
      </c>
      <c r="J8" s="55" t="s">
        <v>71</v>
      </c>
      <c r="K8" s="55" t="s">
        <v>72</v>
      </c>
      <c r="L8" s="55" t="s">
        <v>73</v>
      </c>
      <c r="M8" s="55" t="s">
        <v>74</v>
      </c>
      <c r="N8" s="55" t="s">
        <v>75</v>
      </c>
      <c r="O8" s="55" t="s">
        <v>76</v>
      </c>
    </row>
    <row r="9" customFormat="false" ht="15" hidden="false" customHeight="true" outlineLevel="0" collapsed="false">
      <c r="B9" s="42" t="s">
        <v>93</v>
      </c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56" t="n">
        <f aca="false">SUM(C9:N9)</f>
        <v>0</v>
      </c>
    </row>
    <row r="10" customFormat="false" ht="15" hidden="false" customHeight="true" outlineLevel="0" collapsed="false">
      <c r="B10" s="42" t="s">
        <v>94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56" t="n">
        <f aca="false">SUM(C10:N10)</f>
        <v>0</v>
      </c>
    </row>
    <row r="11" customFormat="false" ht="15" hidden="false" customHeight="true" outlineLevel="0" collapsed="false">
      <c r="B11" s="42" t="s">
        <v>95</v>
      </c>
      <c r="C11" s="57" t="n">
        <f aca="false">C9-C10</f>
        <v>0</v>
      </c>
      <c r="D11" s="57" t="n">
        <f aca="false">D9-D10</f>
        <v>0</v>
      </c>
      <c r="E11" s="57" t="n">
        <f aca="false">E9-E10</f>
        <v>0</v>
      </c>
      <c r="F11" s="57" t="n">
        <f aca="false">F9-F10</f>
        <v>0</v>
      </c>
      <c r="G11" s="57" t="n">
        <f aca="false">G9-G10</f>
        <v>0</v>
      </c>
      <c r="H11" s="57" t="n">
        <f aca="false">H9-H10</f>
        <v>0</v>
      </c>
      <c r="I11" s="57" t="n">
        <f aca="false">I9-I10</f>
        <v>0</v>
      </c>
      <c r="J11" s="57" t="n">
        <f aca="false">J9-J10</f>
        <v>0</v>
      </c>
      <c r="K11" s="57" t="n">
        <f aca="false">K9-K10</f>
        <v>0</v>
      </c>
      <c r="L11" s="57" t="n">
        <f aca="false">L9-L10</f>
        <v>0</v>
      </c>
      <c r="M11" s="57" t="n">
        <f aca="false">M9-M10</f>
        <v>0</v>
      </c>
      <c r="N11" s="57" t="n">
        <f aca="false">N9-N10</f>
        <v>0</v>
      </c>
      <c r="O11" s="44" t="n">
        <f aca="false">O9-O10</f>
        <v>0</v>
      </c>
    </row>
    <row r="12" customFormat="false" ht="15" hidden="false" customHeight="true" outlineLevel="0" collapsed="false">
      <c r="B12" s="42" t="s">
        <v>96</v>
      </c>
      <c r="C12" s="58" t="str">
        <f aca="false">IF(C9=0,"-",C11/C9)</f>
        <v>-</v>
      </c>
      <c r="D12" s="58" t="str">
        <f aca="false">IF(D9=0,"-",D11/D9)</f>
        <v>-</v>
      </c>
      <c r="E12" s="58" t="str">
        <f aca="false">IF(E9=0,"-",E11/E9)</f>
        <v>-</v>
      </c>
      <c r="F12" s="58" t="str">
        <f aca="false">IF(F9=0,"-",F11/F9)</f>
        <v>-</v>
      </c>
      <c r="G12" s="58" t="str">
        <f aca="false">IF(G9=0,"-",G11/G9)</f>
        <v>-</v>
      </c>
      <c r="H12" s="58" t="str">
        <f aca="false">IF(H9=0,"-",H11/H9)</f>
        <v>-</v>
      </c>
      <c r="I12" s="58" t="str">
        <f aca="false">IF(I9=0,"-",I11/I9)</f>
        <v>-</v>
      </c>
      <c r="J12" s="58" t="str">
        <f aca="false">IF(J9=0,"-",J11/J9)</f>
        <v>-</v>
      </c>
      <c r="K12" s="58" t="str">
        <f aca="false">IF(K9=0,"-",K11/K9)</f>
        <v>-</v>
      </c>
      <c r="L12" s="58" t="str">
        <f aca="false">IF(L9=0,"-",L11/L9)</f>
        <v>-</v>
      </c>
      <c r="M12" s="58" t="str">
        <f aca="false">IF(M9=0,"-",M11/M9)</f>
        <v>-</v>
      </c>
      <c r="N12" s="58" t="str">
        <f aca="false">IF(N9=0,"-",N11/N9)</f>
        <v>-</v>
      </c>
      <c r="O12" s="47" t="str">
        <f aca="false">IF(O9=0,"-",O11/O9)</f>
        <v>-</v>
      </c>
    </row>
    <row r="13" customFormat="false" ht="15" hidden="false" customHeight="true" outlineLevel="0" collapsed="false">
      <c r="B13" s="42" t="s">
        <v>81</v>
      </c>
      <c r="C13" s="57" t="n">
        <f aca="false">C9</f>
        <v>0</v>
      </c>
      <c r="D13" s="57" t="n">
        <f aca="false">C13+D9</f>
        <v>0</v>
      </c>
      <c r="E13" s="57" t="n">
        <f aca="false">D13+E9</f>
        <v>0</v>
      </c>
      <c r="F13" s="57" t="n">
        <f aca="false">E13+F9</f>
        <v>0</v>
      </c>
      <c r="G13" s="57" t="n">
        <f aca="false">F13+G9</f>
        <v>0</v>
      </c>
      <c r="H13" s="57" t="n">
        <f aca="false">G13+H9</f>
        <v>0</v>
      </c>
      <c r="I13" s="57" t="n">
        <f aca="false">H13+I9</f>
        <v>0</v>
      </c>
      <c r="J13" s="57" t="n">
        <f aca="false">I13+J9</f>
        <v>0</v>
      </c>
      <c r="K13" s="57" t="n">
        <f aca="false">J13+K9</f>
        <v>0</v>
      </c>
      <c r="L13" s="57" t="n">
        <f aca="false">K13+L9</f>
        <v>0</v>
      </c>
      <c r="M13" s="57" t="n">
        <f aca="false">L13+M9</f>
        <v>0</v>
      </c>
      <c r="N13" s="57" t="n">
        <f aca="false">M13+N9</f>
        <v>0</v>
      </c>
      <c r="O13" s="44" t="n">
        <f aca="false">N13+O9</f>
        <v>0</v>
      </c>
    </row>
    <row r="14" customFormat="false" ht="15" hidden="false" customHeight="true" outlineLevel="0" collapsed="false">
      <c r="B14" s="42" t="s">
        <v>97</v>
      </c>
      <c r="C14" s="58" t="n">
        <f aca="false">IF($C$4=0,"-",(C13-$C$4)/$C$4)</f>
        <v>-1</v>
      </c>
      <c r="D14" s="58" t="n">
        <f aca="false">IF($C$4=0,"-",(D13-$C$4)/$C$4)</f>
        <v>-1</v>
      </c>
      <c r="E14" s="58" t="n">
        <f aca="false">IF($C$4=0,"-",(E13-$C$4)/$C$4)</f>
        <v>-1</v>
      </c>
      <c r="F14" s="58" t="n">
        <f aca="false">IF($C$4=0,"-",(F13-$C$4)/$C$4)</f>
        <v>-1</v>
      </c>
      <c r="G14" s="58" t="n">
        <f aca="false">IF($C$4=0,"-",(G13-$C$4)/$C$4)</f>
        <v>-1</v>
      </c>
      <c r="H14" s="58" t="n">
        <f aca="false">IF($C$4=0,"-",(H13-$C$4)/$C$4)</f>
        <v>-1</v>
      </c>
      <c r="I14" s="58" t="n">
        <f aca="false">IF($C$4=0,"-",(I13-$C$4)/$C$4)</f>
        <v>-1</v>
      </c>
      <c r="J14" s="58" t="n">
        <f aca="false">IF($C$4=0,"-",(J13-$C$4)/$C$4)</f>
        <v>-1</v>
      </c>
      <c r="K14" s="58" t="n">
        <f aca="false">IF($C$4=0,"-",(K13-$C$4)/$C$4)</f>
        <v>-1</v>
      </c>
      <c r="L14" s="58" t="n">
        <f aca="false">IF($C$4=0,"-",(L13-$C$4)/$C$4)</f>
        <v>-1</v>
      </c>
      <c r="M14" s="58" t="n">
        <f aca="false">IF($C$4=0,"-",(M13-$C$4)/$C$4)</f>
        <v>-1</v>
      </c>
      <c r="N14" s="58" t="n">
        <f aca="false">IF($C$4=0,"-",(N13-$C$4)/$C$4)</f>
        <v>-1</v>
      </c>
      <c r="O14" s="47" t="n">
        <f aca="false">IF($C$4=0,"-",(O13-$C$4)/$C$4)</f>
        <v>-1</v>
      </c>
    </row>
    <row r="16" customFormat="false" ht="15" hidden="false" customHeight="true" outlineLevel="0" collapsed="false">
      <c r="B16" s="4" t="s">
        <v>83</v>
      </c>
    </row>
    <row r="17" customFormat="false" ht="15" hidden="false" customHeight="true" outlineLevel="0" collapsed="false">
      <c r="B17" s="7" t="s">
        <v>98</v>
      </c>
      <c r="G17" s="29" t="n">
        <f aca="false">IF(C4=0,"-",(O9-C4)/C4)</f>
        <v>-1</v>
      </c>
    </row>
    <row r="18" customFormat="false" ht="15" hidden="false" customHeight="true" outlineLevel="0" collapsed="false">
      <c r="B18" s="7" t="s">
        <v>99</v>
      </c>
      <c r="G18" s="29" t="str">
        <f aca="false">IF(O9=0,"-",O11/O9)</f>
        <v>-</v>
      </c>
    </row>
    <row r="19" customFormat="false" ht="15" hidden="false" customHeight="true" outlineLevel="0" collapsed="false">
      <c r="B19" s="42" t="s">
        <v>86</v>
      </c>
      <c r="D19" s="14" t="s">
        <v>87</v>
      </c>
      <c r="G19" s="26" t="n">
        <v>0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042"/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4" min="3" style="1" width="20"/>
    <col collapsed="false" customWidth="true" hidden="false" outlineLevel="0" max="5" min="5" style="1" width="30"/>
  </cols>
  <sheetData>
    <row r="1" customFormat="false" ht="36" hidden="false" customHeight="true" outlineLevel="0" collapsed="false">
      <c r="A1" s="59" t="s">
        <v>100</v>
      </c>
      <c r="B1" s="59"/>
      <c r="C1" s="59"/>
      <c r="D1" s="59"/>
      <c r="E1" s="59"/>
    </row>
    <row r="2" customFormat="false" ht="15" hidden="false" customHeight="true" outlineLevel="0" collapsed="false">
      <c r="A2" s="60" t="s">
        <v>101</v>
      </c>
      <c r="B2" s="60"/>
      <c r="C2" s="60"/>
      <c r="D2" s="60"/>
      <c r="E2" s="60"/>
    </row>
    <row r="4" customFormat="false" ht="15" hidden="false" customHeight="true" outlineLevel="0" collapsed="false">
      <c r="B4" s="4" t="s">
        <v>102</v>
      </c>
    </row>
    <row r="5" customFormat="false" ht="26.25" hidden="false" customHeight="true" outlineLevel="0" collapsed="false">
      <c r="B5" s="61" t="s">
        <v>103</v>
      </c>
      <c r="C5" s="61" t="s">
        <v>104</v>
      </c>
      <c r="D5" s="61" t="s">
        <v>105</v>
      </c>
      <c r="E5" s="61" t="s">
        <v>106</v>
      </c>
    </row>
    <row r="6" customFormat="false" ht="15" hidden="false" customHeight="true" outlineLevel="0" collapsed="false">
      <c r="B6" s="62"/>
      <c r="C6" s="62"/>
      <c r="D6" s="62"/>
      <c r="E6" s="62"/>
    </row>
    <row r="7" customFormat="false" ht="15" hidden="false" customHeight="true" outlineLevel="0" collapsed="false">
      <c r="B7" s="62"/>
      <c r="C7" s="62"/>
      <c r="D7" s="62"/>
      <c r="E7" s="62"/>
    </row>
    <row r="8" customFormat="false" ht="15" hidden="false" customHeight="true" outlineLevel="0" collapsed="false">
      <c r="B8" s="62"/>
      <c r="C8" s="62"/>
      <c r="D8" s="62"/>
      <c r="E8" s="62"/>
    </row>
    <row r="9" customFormat="false" ht="15" hidden="false" customHeight="true" outlineLevel="0" collapsed="false">
      <c r="B9" s="62"/>
      <c r="C9" s="62"/>
      <c r="D9" s="62"/>
      <c r="E9" s="62"/>
    </row>
    <row r="10" customFormat="false" ht="15" hidden="false" customHeight="true" outlineLevel="0" collapsed="false">
      <c r="B10" s="12" t="s">
        <v>107</v>
      </c>
      <c r="D10" s="52" t="n">
        <v>0</v>
      </c>
      <c r="E10" s="14" t="s">
        <v>108</v>
      </c>
    </row>
    <row r="11" customFormat="false" ht="15" hidden="false" customHeight="true" outlineLevel="0" collapsed="false">
      <c r="B11" s="1" t="s">
        <v>109</v>
      </c>
      <c r="D11" s="63" t="n">
        <f aca="false">IF(D10=0,0,D10/5000)</f>
        <v>0</v>
      </c>
    </row>
    <row r="12" customFormat="false" ht="15" hidden="false" customHeight="true" outlineLevel="0" collapsed="false">
      <c r="B12" s="4" t="s">
        <v>110</v>
      </c>
    </row>
    <row r="13" customFormat="false" ht="26.25" hidden="false" customHeight="true" outlineLevel="0" collapsed="false">
      <c r="B13" s="61" t="s">
        <v>103</v>
      </c>
      <c r="C13" s="61" t="s">
        <v>104</v>
      </c>
      <c r="D13" s="61" t="s">
        <v>105</v>
      </c>
      <c r="E13" s="61" t="s">
        <v>106</v>
      </c>
    </row>
    <row r="14" customFormat="false" ht="15" hidden="false" customHeight="true" outlineLevel="0" collapsed="false">
      <c r="B14" s="62"/>
      <c r="C14" s="62"/>
      <c r="D14" s="62"/>
      <c r="E14" s="62"/>
    </row>
    <row r="15" customFormat="false" ht="15" hidden="false" customHeight="true" outlineLevel="0" collapsed="false">
      <c r="B15" s="62"/>
      <c r="C15" s="62"/>
      <c r="D15" s="62"/>
      <c r="E15" s="62"/>
    </row>
    <row r="16" customFormat="false" ht="15" hidden="false" customHeight="true" outlineLevel="0" collapsed="false">
      <c r="B16" s="12" t="s">
        <v>107</v>
      </c>
      <c r="D16" s="52" t="n">
        <v>0</v>
      </c>
      <c r="E16" s="14" t="s">
        <v>108</v>
      </c>
    </row>
    <row r="17" customFormat="false" ht="15" hidden="false" customHeight="true" outlineLevel="0" collapsed="false">
      <c r="B17" s="1" t="s">
        <v>109</v>
      </c>
      <c r="D17" s="63" t="n">
        <f aca="false">IF(D16=0,0,D16/5000)</f>
        <v>0</v>
      </c>
    </row>
    <row r="19" customFormat="false" ht="15" hidden="false" customHeight="true" outlineLevel="0" collapsed="false">
      <c r="B19" s="64" t="s">
        <v>111</v>
      </c>
      <c r="C19" s="65"/>
      <c r="D19" s="66" t="n">
        <f aca="false">D10+D16</f>
        <v>0</v>
      </c>
      <c r="E19" s="67" t="s">
        <v>112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2E46"/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6" min="3" style="1" width="18"/>
    <col collapsed="false" customWidth="true" hidden="false" outlineLevel="0" max="7" min="7" style="1" width="24"/>
  </cols>
  <sheetData>
    <row r="1" customFormat="false" ht="36" hidden="false" customHeight="true" outlineLevel="0" collapsed="false">
      <c r="A1" s="68" t="s">
        <v>113</v>
      </c>
      <c r="B1" s="68"/>
      <c r="C1" s="68"/>
      <c r="D1" s="68"/>
      <c r="E1" s="68"/>
      <c r="F1" s="68"/>
      <c r="G1" s="68"/>
    </row>
    <row r="2" customFormat="false" ht="15" hidden="false" customHeight="true" outlineLevel="0" collapsed="false">
      <c r="A2" s="69" t="s">
        <v>114</v>
      </c>
      <c r="B2" s="69"/>
      <c r="C2" s="69"/>
      <c r="D2" s="69"/>
      <c r="E2" s="69"/>
      <c r="F2" s="69"/>
      <c r="G2" s="69"/>
    </row>
    <row r="4" customFormat="false" ht="26.25" hidden="false" customHeight="true" outlineLevel="0" collapsed="false">
      <c r="B4" s="70" t="s">
        <v>115</v>
      </c>
      <c r="C4" s="70" t="s">
        <v>116</v>
      </c>
      <c r="D4" s="70" t="s">
        <v>117</v>
      </c>
      <c r="E4" s="70" t="s">
        <v>118</v>
      </c>
      <c r="F4" s="70" t="s">
        <v>119</v>
      </c>
      <c r="G4" s="70" t="s">
        <v>106</v>
      </c>
    </row>
    <row r="5" customFormat="false" ht="15" hidden="false" customHeight="true" outlineLevel="0" collapsed="false">
      <c r="B5" s="43"/>
      <c r="C5" s="26"/>
      <c r="D5" s="28"/>
      <c r="E5" s="71" t="str">
        <f aca="false">IF(C5=0,"-",C5*D5)</f>
        <v>-</v>
      </c>
      <c r="F5" s="72"/>
      <c r="G5" s="24"/>
    </row>
    <row r="6" customFormat="false" ht="15" hidden="false" customHeight="true" outlineLevel="0" collapsed="false">
      <c r="B6" s="73"/>
      <c r="C6" s="32"/>
      <c r="D6" s="33"/>
      <c r="E6" s="74" t="str">
        <f aca="false">IF(C6=0,"-",C6*D6)</f>
        <v>-</v>
      </c>
      <c r="F6" s="73"/>
      <c r="G6" s="30"/>
    </row>
    <row r="7" customFormat="false" ht="15" hidden="false" customHeight="true" outlineLevel="0" collapsed="false">
      <c r="B7" s="43"/>
      <c r="C7" s="26"/>
      <c r="D7" s="28"/>
      <c r="E7" s="71" t="str">
        <f aca="false">IF(C7=0,"-",C7*D7)</f>
        <v>-</v>
      </c>
      <c r="F7" s="72"/>
      <c r="G7" s="24"/>
    </row>
    <row r="8" customFormat="false" ht="15" hidden="false" customHeight="true" outlineLevel="0" collapsed="false">
      <c r="B8" s="73"/>
      <c r="C8" s="32"/>
      <c r="D8" s="33"/>
      <c r="E8" s="74" t="str">
        <f aca="false">IF(C8=0,"-",C8*D8)</f>
        <v>-</v>
      </c>
      <c r="F8" s="73"/>
      <c r="G8" s="30"/>
    </row>
    <row r="9" customFormat="false" ht="15" hidden="false" customHeight="true" outlineLevel="0" collapsed="false">
      <c r="B9" s="43"/>
      <c r="C9" s="26"/>
      <c r="D9" s="28"/>
      <c r="E9" s="71" t="str">
        <f aca="false">IF(C9=0,"-",C9*D9)</f>
        <v>-</v>
      </c>
      <c r="F9" s="72"/>
      <c r="G9" s="24"/>
    </row>
    <row r="10" customFormat="false" ht="15" hidden="false" customHeight="true" outlineLevel="0" collapsed="false">
      <c r="B10" s="73"/>
      <c r="C10" s="32"/>
      <c r="D10" s="33"/>
      <c r="E10" s="74" t="str">
        <f aca="false">IF(C10=0,"-",C10*D10)</f>
        <v>-</v>
      </c>
      <c r="F10" s="73"/>
      <c r="G10" s="30"/>
    </row>
    <row r="11" customFormat="false" ht="15" hidden="false" customHeight="true" outlineLevel="0" collapsed="false">
      <c r="B11" s="43"/>
      <c r="C11" s="26"/>
      <c r="D11" s="28"/>
      <c r="E11" s="71" t="str">
        <f aca="false">IF(C11=0,"-",C11*D11)</f>
        <v>-</v>
      </c>
      <c r="F11" s="72"/>
      <c r="G11" s="24"/>
    </row>
    <row r="12" customFormat="false" ht="15" hidden="false" customHeight="true" outlineLevel="0" collapsed="false">
      <c r="B12" s="73"/>
      <c r="C12" s="32"/>
      <c r="D12" s="33"/>
      <c r="E12" s="74" t="str">
        <f aca="false">IF(C12=0,"-",C12*D12)</f>
        <v>-</v>
      </c>
      <c r="F12" s="73"/>
      <c r="G12" s="30"/>
    </row>
    <row r="13" customFormat="false" ht="15" hidden="false" customHeight="true" outlineLevel="0" collapsed="false">
      <c r="B13" s="43"/>
      <c r="C13" s="26"/>
      <c r="D13" s="28"/>
      <c r="E13" s="71" t="str">
        <f aca="false">IF(C13=0,"-",C13*D13)</f>
        <v>-</v>
      </c>
      <c r="F13" s="72"/>
      <c r="G13" s="24"/>
    </row>
    <row r="14" customFormat="false" ht="15" hidden="false" customHeight="true" outlineLevel="0" collapsed="false">
      <c r="B14" s="73"/>
      <c r="C14" s="32"/>
      <c r="D14" s="33"/>
      <c r="E14" s="74" t="str">
        <f aca="false">IF(C14=0,"-",C14*D14)</f>
        <v>-</v>
      </c>
      <c r="F14" s="73"/>
      <c r="G14" s="30"/>
    </row>
    <row r="15" customFormat="false" ht="15" hidden="false" customHeight="true" outlineLevel="0" collapsed="false">
      <c r="B15" s="43"/>
      <c r="C15" s="26"/>
      <c r="D15" s="28"/>
      <c r="E15" s="71" t="str">
        <f aca="false">IF(C15=0,"-",C15*D15)</f>
        <v>-</v>
      </c>
      <c r="F15" s="72"/>
      <c r="G15" s="24"/>
    </row>
    <row r="16" customFormat="false" ht="15" hidden="false" customHeight="true" outlineLevel="0" collapsed="false">
      <c r="B16" s="73"/>
      <c r="C16" s="32"/>
      <c r="D16" s="33"/>
      <c r="E16" s="74" t="str">
        <f aca="false">IF(C16=0,"-",C16*D16)</f>
        <v>-</v>
      </c>
      <c r="F16" s="73"/>
      <c r="G16" s="30"/>
    </row>
    <row r="17" customFormat="false" ht="15" hidden="false" customHeight="true" outlineLevel="0" collapsed="false">
      <c r="B17" s="43"/>
      <c r="C17" s="26"/>
      <c r="D17" s="28"/>
      <c r="E17" s="71" t="str">
        <f aca="false">IF(C17=0,"-",C17*D17)</f>
        <v>-</v>
      </c>
      <c r="F17" s="72"/>
      <c r="G17" s="24"/>
    </row>
    <row r="18" customFormat="false" ht="15" hidden="false" customHeight="true" outlineLevel="0" collapsed="false">
      <c r="B18" s="73"/>
      <c r="C18" s="32"/>
      <c r="D18" s="33"/>
      <c r="E18" s="74" t="str">
        <f aca="false">IF(C18=0,"-",C18*D18)</f>
        <v>-</v>
      </c>
      <c r="F18" s="73"/>
      <c r="G18" s="30"/>
    </row>
    <row r="19" customFormat="false" ht="15" hidden="false" customHeight="true" outlineLevel="0" collapsed="false">
      <c r="B19" s="43"/>
      <c r="C19" s="26"/>
      <c r="D19" s="28"/>
      <c r="E19" s="71" t="str">
        <f aca="false">IF(C19=0,"-",C19*D19)</f>
        <v>-</v>
      </c>
      <c r="F19" s="72"/>
      <c r="G19" s="24"/>
    </row>
    <row r="20" customFormat="false" ht="15" hidden="false" customHeight="true" outlineLevel="0" collapsed="false">
      <c r="B20" s="73"/>
      <c r="C20" s="32"/>
      <c r="D20" s="33"/>
      <c r="E20" s="74" t="str">
        <f aca="false">IF(C20=0,"-",C20*D20)</f>
        <v>-</v>
      </c>
      <c r="F20" s="73"/>
      <c r="G20" s="30"/>
    </row>
    <row r="21" customFormat="false" ht="15" hidden="false" customHeight="true" outlineLevel="0" collapsed="false">
      <c r="B21" s="43"/>
      <c r="C21" s="26"/>
      <c r="D21" s="28"/>
      <c r="E21" s="71" t="str">
        <f aca="false">IF(C21=0,"-",C21*D21)</f>
        <v>-</v>
      </c>
      <c r="F21" s="72"/>
      <c r="G21" s="24"/>
    </row>
    <row r="22" customFormat="false" ht="15" hidden="false" customHeight="true" outlineLevel="0" collapsed="false">
      <c r="B22" s="73"/>
      <c r="C22" s="32"/>
      <c r="D22" s="33"/>
      <c r="E22" s="74" t="str">
        <f aca="false">IF(C22=0,"-",C22*D22)</f>
        <v>-</v>
      </c>
      <c r="F22" s="73"/>
      <c r="G22" s="30"/>
    </row>
    <row r="23" customFormat="false" ht="15" hidden="false" customHeight="true" outlineLevel="0" collapsed="false">
      <c r="B23" s="43"/>
      <c r="C23" s="26"/>
      <c r="D23" s="28"/>
      <c r="E23" s="71" t="str">
        <f aca="false">IF(C23=0,"-",C23*D23)</f>
        <v>-</v>
      </c>
      <c r="F23" s="72"/>
      <c r="G23" s="24"/>
    </row>
    <row r="24" customFormat="false" ht="15" hidden="false" customHeight="true" outlineLevel="0" collapsed="false">
      <c r="B24" s="73"/>
      <c r="C24" s="32"/>
      <c r="D24" s="33"/>
      <c r="E24" s="74" t="str">
        <f aca="false">IF(C24=0,"-",C24*D24)</f>
        <v>-</v>
      </c>
      <c r="F24" s="73"/>
      <c r="G24" s="30"/>
    </row>
    <row r="25" customFormat="false" ht="15" hidden="false" customHeight="true" outlineLevel="0" collapsed="false">
      <c r="B25" s="43"/>
      <c r="C25" s="26"/>
      <c r="D25" s="28"/>
      <c r="E25" s="71" t="str">
        <f aca="false">IF(C25=0,"-",C25*D25)</f>
        <v>-</v>
      </c>
      <c r="F25" s="72"/>
      <c r="G25" s="24"/>
    </row>
    <row r="26" customFormat="false" ht="15" hidden="false" customHeight="true" outlineLevel="0" collapsed="false">
      <c r="B26" s="73"/>
      <c r="C26" s="32"/>
      <c r="D26" s="33"/>
      <c r="E26" s="74" t="str">
        <f aca="false">IF(C26=0,"-",C26*D26)</f>
        <v>-</v>
      </c>
      <c r="F26" s="73"/>
      <c r="G26" s="30"/>
    </row>
    <row r="27" customFormat="false" ht="15" hidden="false" customHeight="true" outlineLevel="0" collapsed="false">
      <c r="B27" s="43"/>
      <c r="C27" s="26"/>
      <c r="D27" s="28"/>
      <c r="E27" s="71" t="str">
        <f aca="false">IF(C27=0,"-",C27*D27)</f>
        <v>-</v>
      </c>
      <c r="F27" s="72"/>
      <c r="G27" s="24"/>
    </row>
    <row r="28" customFormat="false" ht="15" hidden="false" customHeight="true" outlineLevel="0" collapsed="false">
      <c r="B28" s="75" t="s">
        <v>120</v>
      </c>
      <c r="C28" s="76"/>
      <c r="D28" s="76"/>
      <c r="E28" s="77" t="n">
        <f aca="false">SUM(E5:E27)</f>
        <v>0</v>
      </c>
      <c r="F28" s="76"/>
      <c r="G28" s="76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35"/>
    <col collapsed="false" customWidth="true" hidden="false" outlineLevel="0" max="4" min="4" style="0" width="25"/>
  </cols>
  <sheetData>
    <row r="1" customFormat="false" ht="30" hidden="false" customHeight="true" outlineLevel="0" collapsed="false">
      <c r="A1" s="78" t="s">
        <v>121</v>
      </c>
      <c r="B1" s="78"/>
      <c r="C1" s="78"/>
      <c r="D1" s="78"/>
    </row>
    <row r="2" customFormat="false" ht="19.5" hidden="false" customHeight="true" outlineLevel="0" collapsed="false">
      <c r="A2" s="79" t="s">
        <v>122</v>
      </c>
      <c r="B2" s="79"/>
      <c r="C2" s="79"/>
      <c r="D2" s="79"/>
    </row>
    <row r="3" customFormat="false" ht="7.5" hidden="false" customHeight="true" outlineLevel="0" collapsed="false"/>
    <row r="4" customFormat="false" ht="21.75" hidden="false" customHeight="true" outlineLevel="0" collapsed="false">
      <c r="A4" s="80" t="s">
        <v>123</v>
      </c>
      <c r="B4" s="80" t="s">
        <v>104</v>
      </c>
      <c r="C4" s="80" t="s">
        <v>124</v>
      </c>
      <c r="D4" s="80" t="s">
        <v>125</v>
      </c>
    </row>
    <row r="5" customFormat="false" ht="15" hidden="false" customHeight="false" outlineLevel="0" collapsed="false">
      <c r="A5" s="81" t="n">
        <v>2025</v>
      </c>
      <c r="B5" s="82" t="n">
        <v>45771</v>
      </c>
      <c r="C5" s="83" t="s">
        <v>126</v>
      </c>
      <c r="D5" s="83" t="s">
        <v>127</v>
      </c>
    </row>
    <row r="6" customFormat="false" ht="15" hidden="false" customHeight="false" outlineLevel="0" collapsed="false">
      <c r="A6" s="84" t="n">
        <v>2025</v>
      </c>
      <c r="B6" s="85" t="n">
        <v>45834</v>
      </c>
      <c r="C6" s="86" t="s">
        <v>128</v>
      </c>
      <c r="D6" s="86" t="s">
        <v>129</v>
      </c>
    </row>
    <row r="7" customFormat="false" ht="15" hidden="false" customHeight="false" outlineLevel="0" collapsed="false">
      <c r="A7" s="81" t="n">
        <v>2025</v>
      </c>
      <c r="B7" s="82" t="n">
        <v>45855</v>
      </c>
      <c r="C7" s="83" t="s">
        <v>130</v>
      </c>
      <c r="D7" s="83" t="s">
        <v>131</v>
      </c>
    </row>
    <row r="8" customFormat="false" ht="15" hidden="false" customHeight="false" outlineLevel="0" collapsed="false">
      <c r="A8" s="84" t="n">
        <v>2025</v>
      </c>
      <c r="B8" s="85" t="n">
        <v>45898</v>
      </c>
      <c r="C8" s="86" t="s">
        <v>132</v>
      </c>
      <c r="D8" s="86" t="s">
        <v>133</v>
      </c>
    </row>
    <row r="9" customFormat="false" ht="15" hidden="false" customHeight="false" outlineLevel="0" collapsed="false">
      <c r="A9" s="81" t="n">
        <v>2025</v>
      </c>
      <c r="B9" s="82" t="n">
        <v>45904</v>
      </c>
      <c r="C9" s="83" t="s">
        <v>134</v>
      </c>
      <c r="D9" s="83" t="s">
        <v>135</v>
      </c>
    </row>
    <row r="10" customFormat="false" ht="15" hidden="false" customHeight="false" outlineLevel="0" collapsed="false">
      <c r="A10" s="84" t="n">
        <v>2025</v>
      </c>
      <c r="B10" s="85" t="n">
        <v>45915</v>
      </c>
      <c r="C10" s="86" t="s">
        <v>136</v>
      </c>
      <c r="D10" s="86" t="s">
        <v>129</v>
      </c>
    </row>
    <row r="11" customFormat="false" ht="15" hidden="false" customHeight="false" outlineLevel="0" collapsed="false">
      <c r="A11" s="81" t="n">
        <v>2025</v>
      </c>
      <c r="B11" s="82" t="n">
        <v>45915</v>
      </c>
      <c r="C11" s="83" t="s">
        <v>137</v>
      </c>
      <c r="D11" s="83" t="s">
        <v>135</v>
      </c>
    </row>
    <row r="12" customFormat="false" ht="15" hidden="false" customHeight="false" outlineLevel="0" collapsed="false">
      <c r="A12" s="84" t="n">
        <v>2025</v>
      </c>
      <c r="B12" s="85" t="n">
        <v>45960</v>
      </c>
      <c r="C12" s="86" t="s">
        <v>138</v>
      </c>
      <c r="D12" s="86" t="s">
        <v>135</v>
      </c>
    </row>
    <row r="13" customFormat="false" ht="15" hidden="false" customHeight="false" outlineLevel="0" collapsed="false">
      <c r="A13" s="81" t="n">
        <v>2025</v>
      </c>
      <c r="B13" s="82" t="n">
        <v>45960</v>
      </c>
      <c r="C13" s="83" t="s">
        <v>139</v>
      </c>
      <c r="D13" s="83" t="s">
        <v>140</v>
      </c>
    </row>
    <row r="14" customFormat="false" ht="15" hidden="false" customHeight="false" outlineLevel="0" collapsed="false">
      <c r="A14" s="84" t="n">
        <v>2025</v>
      </c>
      <c r="B14" s="85" t="n">
        <v>45960</v>
      </c>
      <c r="C14" s="86" t="s">
        <v>141</v>
      </c>
      <c r="D14" s="86" t="s">
        <v>140</v>
      </c>
    </row>
    <row r="15" customFormat="false" ht="15" hidden="false" customHeight="false" outlineLevel="0" collapsed="false">
      <c r="A15" s="81" t="n">
        <v>2025</v>
      </c>
      <c r="B15" s="82" t="n">
        <v>45961</v>
      </c>
      <c r="C15" s="83" t="s">
        <v>142</v>
      </c>
      <c r="D15" s="83" t="s">
        <v>133</v>
      </c>
    </row>
    <row r="16" customFormat="false" ht="15" hidden="false" customHeight="false" outlineLevel="0" collapsed="false">
      <c r="A16" s="84" t="n">
        <v>2025</v>
      </c>
      <c r="B16" s="85" t="n">
        <v>45964</v>
      </c>
      <c r="C16" s="86" t="s">
        <v>143</v>
      </c>
      <c r="D16" s="86" t="s">
        <v>144</v>
      </c>
    </row>
    <row r="17" customFormat="false" ht="15" hidden="false" customHeight="false" outlineLevel="0" collapsed="false">
      <c r="A17" s="81" t="n">
        <v>2025</v>
      </c>
      <c r="B17" s="82" t="n">
        <v>45965</v>
      </c>
      <c r="C17" s="83" t="s">
        <v>145</v>
      </c>
      <c r="D17" s="83"/>
    </row>
    <row r="18" customFormat="false" ht="15" hidden="false" customHeight="false" outlineLevel="0" collapsed="false">
      <c r="A18" s="84" t="n">
        <v>2025</v>
      </c>
      <c r="B18" s="85" t="n">
        <v>45966</v>
      </c>
      <c r="C18" s="86" t="s">
        <v>146</v>
      </c>
      <c r="D18" s="86" t="s">
        <v>129</v>
      </c>
    </row>
    <row r="19" customFormat="false" ht="15" hidden="false" customHeight="false" outlineLevel="0" collapsed="false">
      <c r="A19" s="81" t="n">
        <v>2025</v>
      </c>
      <c r="B19" s="82" t="n">
        <v>45967</v>
      </c>
      <c r="C19" s="83" t="s">
        <v>147</v>
      </c>
      <c r="D19" s="83" t="s">
        <v>140</v>
      </c>
    </row>
    <row r="20" customFormat="false" ht="15" hidden="false" customHeight="false" outlineLevel="0" collapsed="false">
      <c r="A20" s="84" t="n">
        <v>2025</v>
      </c>
      <c r="B20" s="85" t="n">
        <v>45971</v>
      </c>
      <c r="C20" s="86" t="s">
        <v>148</v>
      </c>
      <c r="D20" s="86" t="s">
        <v>140</v>
      </c>
    </row>
    <row r="21" customFormat="false" ht="15" hidden="false" customHeight="false" outlineLevel="0" collapsed="false">
      <c r="A21" s="81" t="n">
        <v>2025</v>
      </c>
      <c r="B21" s="82" t="n">
        <v>45973</v>
      </c>
      <c r="C21" s="83" t="s">
        <v>149</v>
      </c>
      <c r="D21" s="83" t="s">
        <v>129</v>
      </c>
    </row>
    <row r="22" customFormat="false" ht="15" hidden="false" customHeight="false" outlineLevel="0" collapsed="false">
      <c r="A22" s="84" t="n">
        <v>2025</v>
      </c>
      <c r="B22" s="85" t="n">
        <v>45979</v>
      </c>
      <c r="C22" s="86" t="s">
        <v>150</v>
      </c>
      <c r="D22" s="86" t="s">
        <v>133</v>
      </c>
    </row>
    <row r="23" customFormat="false" ht="15" hidden="false" customHeight="false" outlineLevel="0" collapsed="false">
      <c r="A23" s="81" t="n">
        <v>2025</v>
      </c>
      <c r="B23" s="82" t="n">
        <v>45980</v>
      </c>
      <c r="C23" s="83" t="s">
        <v>151</v>
      </c>
      <c r="D23" s="83" t="s">
        <v>140</v>
      </c>
    </row>
    <row r="24" customFormat="false" ht="15" hidden="false" customHeight="false" outlineLevel="0" collapsed="false">
      <c r="A24" s="84" t="n">
        <v>2025</v>
      </c>
      <c r="B24" s="85" t="n">
        <v>45994</v>
      </c>
      <c r="C24" s="86" t="s">
        <v>152</v>
      </c>
      <c r="D24" s="86" t="s">
        <v>140</v>
      </c>
    </row>
    <row r="25" customFormat="false" ht="15" hidden="false" customHeight="false" outlineLevel="0" collapsed="false">
      <c r="A25" s="81" t="n">
        <v>2026</v>
      </c>
      <c r="B25" s="82" t="n">
        <v>46050</v>
      </c>
      <c r="C25" s="83" t="s">
        <v>153</v>
      </c>
      <c r="D25" s="83" t="s">
        <v>154</v>
      </c>
    </row>
    <row r="26" customFormat="false" ht="15" hidden="false" customHeight="false" outlineLevel="0" collapsed="false">
      <c r="A26" s="84" t="n">
        <v>2026</v>
      </c>
      <c r="B26" s="85" t="n">
        <v>46055</v>
      </c>
      <c r="C26" s="86" t="s">
        <v>155</v>
      </c>
      <c r="D26" s="86" t="s">
        <v>129</v>
      </c>
    </row>
    <row r="27" customFormat="false" ht="15" hidden="false" customHeight="false" outlineLevel="0" collapsed="false">
      <c r="A27" s="81" t="n">
        <v>2026</v>
      </c>
      <c r="B27" s="82" t="n">
        <v>46057</v>
      </c>
      <c r="C27" s="83" t="s">
        <v>156</v>
      </c>
      <c r="D27" s="83"/>
    </row>
    <row r="28" customFormat="false" ht="15" hidden="false" customHeight="false" outlineLevel="0" collapsed="false">
      <c r="A28" s="87" t="s">
        <v>157</v>
      </c>
      <c r="B28" s="88" t="n">
        <v>23</v>
      </c>
      <c r="C28" s="89"/>
      <c r="D28" s="89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2026-02-12T17:10:56Z</dcterms:created>
  <dc:creator>openpyxl</dc:creator>
  <dc:description/>
  <dc:language>en-US</dc:language>
  <cp:lastModifiedBy/>
  <dcterms:modified xsi:type="dcterms:W3CDTF">2026-02-13T16:28:46Z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