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20 Ranked" sheetId="1" state="visible" r:id="rId3"/>
    <sheet name="Watchlist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<sst xmlns="http://schemas.openxmlformats.org/spreadsheetml/2006/main" count="287" uniqueCount="254">
  <si>
    <t xml:space="preserve">Improving AI Speaking Opportunities: Top 20 US Conferences (12-month window)</t>
  </si>
  <si>
    <t xml:space="preserve">Prepared 2026-10-08; extended to 20. Ranks 1-10 are the priority list, 11-20 the next tier. Ranked by weighted score. Edit blue weights and scores to re-rank. Dates and CFP status come from web search of organizer and third-party listings; verify before committing.</t>
  </si>
  <si>
    <t xml:space="preserve">Scoring weights</t>
  </si>
  <si>
    <t xml:space="preserve">Business/line-of-business exec audience</t>
  </si>
  <si>
    <t xml:space="preserve">Scores are 1 to 5. Blue = judgment inputs from Improving's research, not organizer data.</t>
  </si>
  <si>
    <t xml:space="preserve">Mid-market to enterprise buyer fit</t>
  </si>
  <si>
    <t xml:space="preserve">CFP accessibility for a services firm</t>
  </si>
  <si>
    <t xml:space="preserve">Brand and thought-leadership credibility</t>
  </si>
  <si>
    <t xml:space="preserve">Total (must equal 100%)</t>
  </si>
  <si>
    <t xml:space="preserve">Rank</t>
  </si>
  <si>
    <t xml:space="preserve">Conference</t>
  </si>
  <si>
    <t xml:space="preserve">Dates</t>
  </si>
  <si>
    <t xml:space="preserve">Location</t>
  </si>
  <si>
    <t xml:space="preserve">Segment</t>
  </si>
  <si>
    <t xml:space="preserve">Audience and scale</t>
  </si>
  <si>
    <t xml:space="preserve">CFP status (as of 10/8/26)</t>
  </si>
  <si>
    <t xml:space="preserve">Next action</t>
  </si>
  <si>
    <t xml:space="preserve">Date confidence</t>
  </si>
  <si>
    <t xml:space="preserve">Exec fit</t>
  </si>
  <si>
    <t xml:space="preserve">Buyer fit</t>
  </si>
  <si>
    <t xml:space="preserve">CFP access</t>
  </si>
  <si>
    <t xml:space="preserve">Brand</t>
  </si>
  <si>
    <t xml:space="preserve">Weighted score</t>
  </si>
  <si>
    <t xml:space="preserve">Why it fits / Improving angle</t>
  </si>
  <si>
    <t xml:space="preserve">Source</t>
  </si>
  <si>
    <t xml:space="preserve">Gartner IT Symposium/Xpo 2027</t>
  </si>
  <si>
    <t xml:space="preserve">Oct 2027 (2026 edition: Oct 19-22)</t>
  </si>
  <si>
    <t xml:space="preserve">Orlando, FL</t>
  </si>
  <si>
    <t xml:space="preserve">Horizontal CIO/IT leaders</t>
  </si>
  <si>
    <t xml:space="preserve">Largest CIO and IT executive gathering; Gartner-curated agenda</t>
  </si>
  <si>
    <t xml:space="preserve">Not published. Sessions are mostly Gartner analysts and invited client case studies.</t>
  </si>
  <si>
    <t xml:space="preserve">Pursue a client co-presentation via Gartner relationship; ask account team about 2027 case-study slots.</t>
  </si>
  <si>
    <t xml:space="preserve">Low (2027 dates not found)</t>
  </si>
  <si>
    <t xml:space="preserve">Highest buyer density in the list, but hard to get on stage. Realistic route is a client case study, not a standalone talk.</t>
  </si>
  <si>
    <t xml:space="preserve">https://secure.businesswire.com/news/home/20260709835738/en/Gartner-Announces-Gartner-IT-SymposiumXpo-October-19-22-in-Orlando</t>
  </si>
  <si>
    <t xml:space="preserve">HumanX 2027</t>
  </si>
  <si>
    <t xml:space="preserve">Mar 7-10, 2027</t>
  </si>
  <si>
    <t xml:space="preserve">Las Vegas, NV (Mandalay Bay)</t>
  </si>
  <si>
    <t xml:space="preserve">Horizontal enterprise AI</t>
  </si>
  <si>
    <t xml:space="preserve">Enterprise AI leaders and executives; 350+ speakers; attendance figures vary by source (6,500 to 9,500)</t>
  </si>
  <si>
    <t xml:space="preserve">Open. Organizer says speakers chosen on expertise, no paid slots.</t>
  </si>
  <si>
    <t xml:space="preserve">Submit via humanx.co/us/get-involved now. Lead with an enterprise outcome talk, not a vendor pitch.</t>
  </si>
  <si>
    <t xml:space="preserve">Medium</t>
  </si>
  <si>
    <t xml:space="preserve">Best blend of exec audience and an open, merit-based call. Pitch agentic AI in the Microsoft stack with a named client outcome (anonymized).</t>
  </si>
  <si>
    <t xml:space="preserve">https://humanx.co/us/get-involved</t>
  </si>
  <si>
    <t xml:space="preserve">AI Agent Conference 2027</t>
  </si>
  <si>
    <t xml:space="preserve">May 17-18, 2027</t>
  </si>
  <si>
    <t xml:space="preserve">New York, NY (Hilton Midtown)</t>
  </si>
  <si>
    <t xml:space="preserve">Horizontal, agentic AI</t>
  </si>
  <si>
    <t xml:space="preserve">Senior executives putting agents into production; organizer projects 4,000+ attendees; run by Firsthand VC with NYSE</t>
  </si>
  <si>
    <t xml:space="preserve">Unconfirmed. No public submission page found; one source reports rolling proposals.</t>
  </si>
  <si>
    <t xml:space="preserve">Contact organizer to confirm CFP and track fit (CIO, COO, CDO tracks).</t>
  </si>
  <si>
    <t xml:space="preserve">Exec-first agenda aligned to agent deployment, which matches Improving's delivery story. Strong NYC enterprise density.</t>
  </si>
  <si>
    <t xml:space="preserve">https://www.agentconference.com/</t>
  </si>
  <si>
    <t xml:space="preserve">MIT Sloan CIO Symposium 2027</t>
  </si>
  <si>
    <t xml:space="preserve">Likely May 2027 (2026 edition: May 19)</t>
  </si>
  <si>
    <t xml:space="preserve">Cambridge, MA</t>
  </si>
  <si>
    <t xml:space="preserve">Horizontal CIO</t>
  </si>
  <si>
    <t xml:space="preserve">CIOs and senior IT leaders; academic credibility</t>
  </si>
  <si>
    <t xml:space="preserve">Not found. 2027 dates not yet announced.</t>
  </si>
  <si>
    <t xml:space="preserve">Monitor mitcio.com; reach out to the program team early.</t>
  </si>
  <si>
    <t xml:space="preserve">Low</t>
  </si>
  <si>
    <t xml:space="preserve">Strong credibility signal for a thought-leadership brand. Panels are invite-heavy, so relationship-led.</t>
  </si>
  <si>
    <t xml:space="preserve">https://www.mitcio.com</t>
  </si>
  <si>
    <t xml:space="preserve">NRF 2027: Retail's Big Show</t>
  </si>
  <si>
    <t xml:space="preserve">Jan 10-12, 2027</t>
  </si>
  <si>
    <t xml:space="preserve">New York, NY (Javits Center)</t>
  </si>
  <si>
    <t xml:space="preserve">Retail</t>
  </si>
  <si>
    <t xml:space="preserve">45,000+ attendees; retail executives</t>
  </si>
  <si>
    <t xml:space="preserve">Likely closed. Prior cycle closed Oct 24, 2025. Vendors barred from Featured Sessions; client-led submissions allowed.</t>
  </si>
  <si>
    <t xml:space="preserve">Ask retail clients about co-submitting for 2028 now; seek a client-led 2027 session if any slot remains.</t>
  </si>
  <si>
    <t xml:space="preserve">High</t>
  </si>
  <si>
    <t xml:space="preserve">Top retail venue. Improving can only appear via a client. Treat as a 2028 play unless a client already has a slot.</t>
  </si>
  <si>
    <t xml:space="preserve">https://nrfbigshow.nrf.com/attend/call-for-speakers</t>
  </si>
  <si>
    <t xml:space="preserve">ViVE 2027</t>
  </si>
  <si>
    <t xml:space="preserve">Mar 14-17, 2027</t>
  </si>
  <si>
    <t xml:space="preserve">Nashville, TN</t>
  </si>
  <si>
    <t xml:space="preserve">Healthcare</t>
  </si>
  <si>
    <t xml:space="preserve">Health system executives and digital health leaders; AI is a featured area; run by HLTH</t>
  </si>
  <si>
    <t xml:space="preserve">Opening. Page says applications open in September (not verified live). Rolling review, replies by mid-Feb. No honorarium or travel.</t>
  </si>
  <si>
    <t xml:space="preserve">Check the speaker page now and apply early; rolling review favors early submissions.</t>
  </si>
  <si>
    <t xml:space="preserve">Most accessible healthcare AI venue found. Pairs with HIMSS27 as a two-venue healthcare plan. No PHI or client-confidential detail.</t>
  </si>
  <si>
    <t xml:space="preserve">https://hlth.com/events/vive/speakers/become-a-speaker/</t>
  </si>
  <si>
    <t xml:space="preserve">Gartner Data &amp; Analytics Summit 2027</t>
  </si>
  <si>
    <t xml:space="preserve">Mar 8-10, 2027</t>
  </si>
  <si>
    <t xml:space="preserve">Orlando, FL (venue conflicting in sources)</t>
  </si>
  <si>
    <t xml:space="preserve">Data and AI leaders</t>
  </si>
  <si>
    <t xml:space="preserve">CDOs, data and analytics leaders at large enterprises</t>
  </si>
  <si>
    <t xml:space="preserve">Not published. Same analyst and client-case-study model as Symposium.</t>
  </si>
  <si>
    <t xml:space="preserve">Same Gartner path; target CDO audience with data-readiness-for-AI story.</t>
  </si>
  <si>
    <t xml:space="preserve">Data foundation for AI is a natural Improving topic. Same access constraint as Symposium.</t>
  </si>
  <si>
    <t xml:space="preserve">https://www.govevents.com/event/27366/gartner-data-analytics-summit-2027</t>
  </si>
  <si>
    <t xml:space="preserve">Shoptalk Spring 2027</t>
  </si>
  <si>
    <t xml:space="preserve">Mar 22-24, 2027</t>
  </si>
  <si>
    <t xml:space="preserve">Retail and ecommerce</t>
  </si>
  <si>
    <t xml:space="preserve">Retail and consumer brand executives</t>
  </si>
  <si>
    <t xml:space="preserve">Unconfirmed. Site lists 'Apply to Speak in 2027'; content not verified. No pay-to-play; vendors not paired with clients on stage.</t>
  </si>
  <si>
    <t xml:space="preserve">Check the 2027 apply page this week; submit with a retail AI use case.</t>
  </si>
  <si>
    <t xml:space="preserve">More open than NRF and exec-oriented. Fits retail AI and personalization work.</t>
  </si>
  <si>
    <t xml:space="preserve">https://fall.shoptalk.com/us/speakers/apply</t>
  </si>
  <si>
    <t xml:space="preserve">HIMSS27 Global Health Conference</t>
  </si>
  <si>
    <t xml:space="preserve">Apr 5-8, 2027</t>
  </si>
  <si>
    <t xml:space="preserve">Location not verified</t>
  </si>
  <si>
    <t xml:space="preserve">Health system and health IT executives</t>
  </si>
  <si>
    <t xml:space="preserve">Poster deadline Oct 11, 2026 (5 PM EST). Session CFP not found.</t>
  </si>
  <si>
    <t xml:space="preserve">Decide this week on an AI poster submission; confirm session CFP with HIMSS.</t>
  </si>
  <si>
    <t xml:space="preserve">Primary healthcare AI venue. Poster is a low-cost foot in the door. Do not include PHI or client-confidential detail.</t>
  </si>
  <si>
    <t xml:space="preserve">https://www.himssconference.com/call-for-posters/</t>
  </si>
  <si>
    <t xml:space="preserve">HLTH USA 2027</t>
  </si>
  <si>
    <t xml:space="preserve">Oct 17-20, 2027</t>
  </si>
  <si>
    <t xml:space="preserve">Las Vegas, NV</t>
  </si>
  <si>
    <t xml:space="preserve">Health system, payer, and health tech executives</t>
  </si>
  <si>
    <t xml:space="preserve">Not found. 2026 call closed June 12, 2026; applications reviewed on rolling basis.</t>
  </si>
  <si>
    <t xml:space="preserve">Calendar a Spring 2027 check of the HLTH speaker page; use ViVE as the relationship on-ramp.</t>
  </si>
  <si>
    <t xml:space="preserve">Top-tier healthcare executive brand. Competitive and best pursued after a ViVE appearance.</t>
  </si>
  <si>
    <t xml:space="preserve">https://hlth.com/events/usa/speakers/become-a-speaker/</t>
  </si>
  <si>
    <t xml:space="preserve">Gartner Supply Chain Symposium/Xpo US 2027</t>
  </si>
  <si>
    <t xml:space="preserve">Mar 3-5 or May 3-5, 2027 (sources conflict)</t>
  </si>
  <si>
    <t xml:space="preserve">Manufacturing and supply chain</t>
  </si>
  <si>
    <t xml:space="preserve">Supply chain executives at large enterprises</t>
  </si>
  <si>
    <t xml:space="preserve">Not published. Gartner analyst and client case-study model.</t>
  </si>
  <si>
    <t xml:space="preserve">Confirm dates on gartner.com; pursue via Gartner account team and a manufacturing client.</t>
  </si>
  <si>
    <t xml:space="preserve">Strongest manufacturing and supply chain buyer audience found. Same Gartner access constraint.</t>
  </si>
  <si>
    <t xml:space="preserve">https://www.govevents.com/event/27368/gartner-supply-chain-symposium-xpo-conference-2027</t>
  </si>
  <si>
    <t xml:space="preserve">The AI Summit New York 2027</t>
  </si>
  <si>
    <t xml:space="preserve">Dec 8-9, 2027 (third-party listing)</t>
  </si>
  <si>
    <t xml:space="preserve">Enterprise AI and business leaders; large trade show</t>
  </si>
  <si>
    <t xml:space="preserve">Not found for 2027. Prior edition links a speaker call; deadline unverified.</t>
  </si>
  <si>
    <t xml:space="preserve">Check newyork.theaisummit.com mid-2027 for the call. Falls outside the 12-month window.</t>
  </si>
  <si>
    <t xml:space="preserve">Large NYC audience. Outside the window, so a placeholder for the next planning cycle.</t>
  </si>
  <si>
    <t xml:space="preserve">https://www.beri.net/events/ai-summit-new-york-2027</t>
  </si>
  <si>
    <t xml:space="preserve">Becker's Health IT + Digital Health + RCM</t>
  </si>
  <si>
    <t xml:space="preserve">Sep 2027 (2026 edition: Sep 14-17)</t>
  </si>
  <si>
    <t xml:space="preserve">Chicago, IL</t>
  </si>
  <si>
    <t xml:space="preserve">Health system IT, digital health, and revenue cycle leaders</t>
  </si>
  <si>
    <t xml:space="preserve">Not found for 2027. Becker's runs a speaker proposal form reviewed by its agenda team.</t>
  </si>
  <si>
    <t xml:space="preserve">Submit a proposal when the 2027 Health IT event appears on the Becker's call page.</t>
  </si>
  <si>
    <t xml:space="preserve">Practical healthcare AI audience with an established proposal process. Dates inferred from 2026.</t>
  </si>
  <si>
    <t xml:space="preserve">https://conferences.beckershospitalreview.com/call-for-speakers/4442367</t>
  </si>
  <si>
    <t xml:space="preserve">Money20/20 USA 2027</t>
  </si>
  <si>
    <t xml:space="preserve">Oct 19-21, 2027</t>
  </si>
  <si>
    <t xml:space="preserve">Las Vegas, NV (Las Vegas Convention Center)</t>
  </si>
  <si>
    <t xml:space="preserve">Financial services</t>
  </si>
  <si>
    <t xml:space="preserve">Banking, payments, and fintech executives; large vertical show</t>
  </si>
  <si>
    <t xml:space="preserve">Not found. No 2027 US speaker call located; Europe call runs Nov 2-27, 2026.</t>
  </si>
  <si>
    <t xml:space="preserve">Watch for the US content call (likely mid-2027); consider a client-led pitch with a bank or insurer.</t>
  </si>
  <si>
    <t xml:space="preserve">Low (single source)</t>
  </si>
  <si>
    <t xml:space="preserve">Best financial services AI venue identified. Moving venues in 2027; confirm dates on the organizer site.</t>
  </si>
  <si>
    <t xml:space="preserve">https://www.beri.net/events/money2020-usa-2027</t>
  </si>
  <si>
    <t xml:space="preserve">AI Summit NA 2027</t>
  </si>
  <si>
    <t xml:space="preserve">Mar 30 to Apr 1, 2027</t>
  </si>
  <si>
    <t xml:space="preserve">Chula Vista, CA</t>
  </si>
  <si>
    <t xml:space="preserve">Microsoft-focused AI</t>
  </si>
  <si>
    <t xml:space="preserve">Likely IT pros and practitioners in the Microsoft ecosystem; audience not verified</t>
  </si>
  <si>
    <t xml:space="preserve">Open. Call closes Dec 4, 2026 (12:00 PM).</t>
  </si>
  <si>
    <t xml:space="preserve">Verify organizer, audience, and Microsoft focus, then submit before Dec 4 if exec attendance is real.</t>
  </si>
  <si>
    <t xml:space="preserve">Easiest open call and aligned to Improving's Microsoft stack. Confirm the buyer audience before investing.</t>
  </si>
  <si>
    <t xml:space="preserve">https://sessionize.com/ai-summitna-2027</t>
  </si>
  <si>
    <t xml:space="preserve">Ai4 2027</t>
  </si>
  <si>
    <t xml:space="preserve">Aug 2-5, 2027 (provisional)</t>
  </si>
  <si>
    <t xml:space="preserve">Las Vegas, NV (The Venetian)</t>
  </si>
  <si>
    <t xml:space="preserve">Billed as America's largest AI conference; 1,300+ speakers listed; mixed audience</t>
  </si>
  <si>
    <t xml:space="preserve">Earned slots reserved for end users. Service providers must use the sponsor route. 2027 form not found.</t>
  </si>
  <si>
    <t xml:space="preserve">Pair with a client for an earned slot, or evaluate the sponsor package against cost per exec lead.</t>
  </si>
  <si>
    <t xml:space="preserve">Large reach, but crowded and pay-to-play for vendors. Best value is client co-presentation.</t>
  </si>
  <si>
    <t xml:space="preserve">https://ai4.io/speaker-interest/</t>
  </si>
  <si>
    <t xml:space="preserve">CIO 100 Symposium &amp; Awards 2027</t>
  </si>
  <si>
    <t xml:space="preserve">Aug 16-18, 2027</t>
  </si>
  <si>
    <t xml:space="preserve">Frisco, TX</t>
  </si>
  <si>
    <t xml:space="preserve">Enterprise CIOs and IT leaders (Foundry)</t>
  </si>
  <si>
    <t xml:space="preserve">Not found. Speaker intake not published; honoree and invitation driven.</t>
  </si>
  <si>
    <t xml:space="preserve">Ask Foundry about 2027 session intake; nominate a client CIO for CIO 100 recognition.</t>
  </si>
  <si>
    <t xml:space="preserve">Low (third-party listing)</t>
  </si>
  <si>
    <t xml:space="preserve">Concentrated enterprise CIO audience. Client recognition route may beat a direct speaker pitch.</t>
  </si>
  <si>
    <t xml:space="preserve">https://www.luminik.io/events/cio-100-symposium-awards-frisco-ea87fff664e2/</t>
  </si>
  <si>
    <t xml:space="preserve">Generative AI Summit New York</t>
  </si>
  <si>
    <t xml:space="preserve">Jun 3, 2027</t>
  </si>
  <si>
    <t xml:space="preserve">New York, NY</t>
  </si>
  <si>
    <t xml:space="preserve">Horizontal, implementation</t>
  </si>
  <si>
    <t xml:space="preserve">Engineers and executives; implementation focus</t>
  </si>
  <si>
    <t xml:space="preserve">Open. 'Apply to be a speaker' available. Deadline not confirmed.</t>
  </si>
  <si>
    <t xml:space="preserve">Submit a technical-plus-business session; confirm deadline with organizer.</t>
  </si>
  <si>
    <t xml:space="preserve">Accessible call and NYC reach. Lower exec density, so use as a proof-point venue.</t>
  </si>
  <si>
    <t xml:space="preserve">https://world.aiacceleratorinstitute.com/location/newyork/</t>
  </si>
  <si>
    <t xml:space="preserve">SXSW 2027 Innovation Conference</t>
  </si>
  <si>
    <t xml:space="preserve">Mar 15-20, 2027</t>
  </si>
  <si>
    <t xml:space="preserve">Austin, TX</t>
  </si>
  <si>
    <t xml:space="preserve">Horizontal, AI track</t>
  </si>
  <si>
    <t xml:space="preserve">Broad innovation and business audience; AI is a track</t>
  </si>
  <si>
    <t xml:space="preserve">Closed. PanelPicker deadline was Jul 26, 2026.</t>
  </si>
  <si>
    <t xml:space="preserve">Calendar the 2028 PanelPicker cycle (opened June 23 in 2026) and prep a proposal in spring 2027.</t>
  </si>
  <si>
    <t xml:space="preserve">Strong brand but broad audience and a closed window. A 2028 play, so it ranks low for the 12-month plan.</t>
  </si>
  <si>
    <t xml:space="preserve">https://sxsw.com/news/2026/sxsw-2027-panelpicker-is-open/</t>
  </si>
  <si>
    <t xml:space="preserve">Manufacturing LIVE: The New York Summit</t>
  </si>
  <si>
    <t xml:space="preserve">Apr 20-21, 2027</t>
  </si>
  <si>
    <t xml:space="preserve">Manufacturing</t>
  </si>
  <si>
    <t xml:space="preserve">Manufacturing executives; organizer is a media and events firm</t>
  </si>
  <si>
    <t xml:space="preserve">Not found. Speaker process and any sponsorship requirement not verified.</t>
  </si>
  <si>
    <t xml:space="preserve">Ask organizer for speaker terms; avoid pay-to-play unless it clears a cost-per-lead bar.</t>
  </si>
  <si>
    <t xml:space="preserve">Closest US manufacturing executive event with 2027 dates. Weak confirmation on format and terms.</t>
  </si>
  <si>
    <t xml:space="preserve">https://supplychaindigital.com/events/procurement-supply-chain-live/the-new-york-summit-manufacturing-live-2027</t>
  </si>
  <si>
    <t xml:space="preserve">Event</t>
  </si>
  <si>
    <t xml:space="preserve">Why not top 20</t>
  </si>
  <si>
    <t xml:space="preserve">Next step</t>
  </si>
  <si>
    <t xml:space="preserve">Automate 2027</t>
  </si>
  <si>
    <t xml:space="preserve">May 10-13, 2027, Las Vegas</t>
  </si>
  <si>
    <t xml:space="preserve">Call listed a Sep 30, 2026 deadline; audience skews robotics and automation engineers, weaker match to Improving buyers.</t>
  </si>
  <si>
    <t xml:space="preserve">Ask A3 whether late submissions are accepted. No stronger US manufacturing AI event with an open call was found.</t>
  </si>
  <si>
    <t xml:space="preserve">Fortune Brainstorm AI / Brainstorm Tech</t>
  </si>
  <si>
    <t xml:space="preserve">Dec 7-8, 2026 SF; Brainstorm Tech was Jun 8-10, 2026 in Aspen (2027 not found)</t>
  </si>
  <si>
    <t xml:space="preserve">Horizontal exec</t>
  </si>
  <si>
    <t xml:space="preserve">Invitation-only and no 2027 speaker process found.</t>
  </si>
  <si>
    <t xml:space="preserve">Pursue invitation through a Fortune relationship.</t>
  </si>
  <si>
    <t xml:space="preserve">VB Transform</t>
  </si>
  <si>
    <t xml:space="preserve">2026 edition was Jul 14-15 (2027 not found)</t>
  </si>
  <si>
    <t xml:space="preserve">No 2027 call found; prior call was a company showcase limited to 10 firms.</t>
  </si>
  <si>
    <t xml:space="preserve">Watch venturebeat.com for the 2027 showcase application.</t>
  </si>
  <si>
    <t xml:space="preserve">American Manufacturing Summit</t>
  </si>
  <si>
    <t xml:space="preserve">Mar 16-17, 2027</t>
  </si>
  <si>
    <t xml:space="preserve">Senior executive format, but no US speaker process verified.</t>
  </si>
  <si>
    <t xml:space="preserve">Contact organizer alongside Manufacturing LIVE.</t>
  </si>
  <si>
    <t xml:space="preserve">CSCMP EDGE</t>
  </si>
  <si>
    <t xml:space="preserve">2026 edition Oct 4-7, Nashville (2027 not found)</t>
  </si>
  <si>
    <t xml:space="preserve">Supply chain</t>
  </si>
  <si>
    <t xml:space="preserve">No 2027 call found; sessions run through a call-for-sessions portal.</t>
  </si>
  <si>
    <t xml:space="preserve">Check cscmpedge.org for the 2027 portal.</t>
  </si>
  <si>
    <t xml:space="preserve">Evident AI Symposium</t>
  </si>
  <si>
    <t xml:space="preserve">Oct 22, 2026, New York (invitation-only)</t>
  </si>
  <si>
    <t xml:space="preserve">Invitation-only; 2027 not found.</t>
  </si>
  <si>
    <t xml:space="preserve">Seek an invitation via banking clients.</t>
  </si>
  <si>
    <t xml:space="preserve">ODSC AI East 2027</t>
  </si>
  <si>
    <t xml:space="preserve">Boston (dates not confirmed)</t>
  </si>
  <si>
    <t xml:space="preserve">Practitioner</t>
  </si>
  <si>
    <t xml:space="preserve">Builder and data scientist audience; has an Executive Action Lab.</t>
  </si>
  <si>
    <t xml:space="preserve">Consider if an exec roundtable slot is available.</t>
  </si>
  <si>
    <t xml:space="preserve">Forrester Technology &amp; Innovation</t>
  </si>
  <si>
    <t xml:space="preserve">2026 East: Nov 4-5, New York (2027 not found)</t>
  </si>
  <si>
    <t xml:space="preserve">No 2027 dates published.</t>
  </si>
  <si>
    <t xml:space="preserve">Check forrester.com mid-2027 for dates.</t>
  </si>
  <si>
    <t xml:space="preserve">Kinfos Agentic Automation in Finance Summit US</t>
  </si>
  <si>
    <t xml:space="preserve">Mar 11, 2027</t>
  </si>
  <si>
    <t xml:space="preserve">Location and CFP not verified.</t>
  </si>
  <si>
    <t xml:space="preserve">Confirm with organizer.</t>
  </si>
  <si>
    <t xml:space="preserve">AI Context New York</t>
  </si>
  <si>
    <t xml:space="preserve">Infrastructure</t>
  </si>
  <si>
    <t xml:space="preserve">Protocol and infrastructure builder audience, weak buyer fit. CFP closes Jan 4, 2027.</t>
  </si>
  <si>
    <t xml:space="preserve">Skip unless a technical brand play is wanted.</t>
  </si>
  <si>
    <t xml:space="preserve">Gaps and caveats</t>
  </si>
  <si>
    <t xml:space="preserve">Dates and CFP status come from web search results, including third-party listings. Anything marked Medium or Low date confidence needs organizer confirmation.</t>
  </si>
  <si>
    <t xml:space="preserve">Financial services and manufacturing: no US event with an open 2027 speaker call and strong exec buyer fit surfaced. Money20/20 USA, Gartner Supply Chain Symposium, and Manufacturing LIVE are on the ranked list for relationship building; Automate sits on the Watchlist.</t>
  </si>
  <si>
    <t xml:space="preserve">Many top venues (Gartner, MIT Sloan CIO, NRF, Ai4) restrict or discourage vendor speakers. Client co-presentation is the realistic route and requires written client consent for AI-assisted prep and public use of client details.</t>
  </si>
  <si>
    <t xml:space="preserve">Do not include PHI, personnel records, or client-confidential material in any submission without the required agreements.</t>
  </si>
  <si>
    <t xml:space="preserve">Time-sensitive: HIMSS27 poster deadline is Oct 11, 2026. HumanX and ViVE calls are open or opening now. AI Summit NA closes Dec 4, 2026. Shoptalk and AI Agent Conference need a quick organizer check.</t>
  </si>
  <si>
    <t xml:space="preserve">Scores are 1 to 5 judgment calls. Change blue cells on the Top 20 Ranked tab and ranks recalculate.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</si>
</sst>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ck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8" min="7" style="0" width="36"/>
    <col collapsed="false" customWidth="true" hidden="false" outlineLevel="0" max="9" min="9" style="0" width="14"/>
    <col collapsed="false" customWidth="true" hidden="false" outlineLevel="0" max="13" min="10" style="0" width="8"/>
    <col collapsed="false" customWidth="true" hidden="false" outlineLevel="0" max="14" min="14" style="0" width="10"/>
    <col collapsed="false" customWidth="true" hidden="false" outlineLevel="0" max="15" min="15" style="0" width="44"/>
    <col collapsed="false" customWidth="true" hidden="false" outlineLevel="0" max="16" min="16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C5" s="5" t="n">
        <v>0.4</v>
      </c>
      <c r="E5" s="2" t="s">
        <v>4</v>
      </c>
    </row>
    <row r="6" customFormat="false" ht="15" hidden="false" customHeight="false" outlineLevel="0" collapsed="false">
      <c r="A6" s="4" t="s">
        <v>5</v>
      </c>
      <c r="C6" s="5" t="n">
        <v>0.2</v>
      </c>
    </row>
    <row r="7" customFormat="false" ht="15" hidden="false" customHeight="false" outlineLevel="0" collapsed="false">
      <c r="A7" s="4" t="s">
        <v>6</v>
      </c>
      <c r="C7" s="5" t="n">
        <v>0.2</v>
      </c>
    </row>
    <row r="8" customFormat="false" ht="15" hidden="false" customHeight="false" outlineLevel="0" collapsed="false">
      <c r="A8" s="4" t="s">
        <v>7</v>
      </c>
      <c r="C8" s="5" t="n">
        <v>0.2</v>
      </c>
    </row>
    <row r="9" customFormat="false" ht="15" hidden="false" customHeight="false" outlineLevel="0" collapsed="false">
      <c r="A9" s="6" t="s">
        <v>8</v>
      </c>
      <c r="C9" s="7" t="n">
        <f aca="false">SUM(C5:C8)</f>
        <v>1</v>
      </c>
    </row>
    <row r="11" customFormat="false" ht="31.5" hidden="false" customHeight="true" outlineLevel="0" collapsed="false">
      <c r="A11" s="8" t="s">
        <v>9</v>
      </c>
      <c r="B11" s="8" t="s">
        <v>10</v>
      </c>
      <c r="C11" s="8" t="s">
        <v>11</v>
      </c>
      <c r="D11" s="8" t="s">
        <v>12</v>
      </c>
      <c r="E11" s="8" t="s">
        <v>13</v>
      </c>
      <c r="F11" s="8" t="s">
        <v>14</v>
      </c>
      <c r="G11" s="8" t="s">
        <v>15</v>
      </c>
      <c r="H11" s="8" t="s">
        <v>16</v>
      </c>
      <c r="I11" s="8" t="s">
        <v>17</v>
      </c>
      <c r="J11" s="8" t="s">
        <v>18</v>
      </c>
      <c r="K11" s="8" t="s">
        <v>19</v>
      </c>
      <c r="L11" s="8" t="s">
        <v>20</v>
      </c>
      <c r="M11" s="8" t="s">
        <v>21</v>
      </c>
      <c r="N11" s="8" t="s">
        <v>22</v>
      </c>
      <c r="O11" s="8" t="s">
        <v>23</v>
      </c>
      <c r="P11" s="8" t="s">
        <v>24</v>
      </c>
    </row>
    <row r="12" customFormat="false" ht="96" hidden="false" customHeight="true" outlineLevel="0" collapsed="false">
      <c r="A12" s="9" t="n">
        <f aca="false">RANK(N12,$N$12:$N$31,0)+COUNTIF($N$11:N11,N12)</f>
        <v>1</v>
      </c>
      <c r="B12" s="10" t="s">
        <v>25</v>
      </c>
      <c r="C12" s="11" t="s">
        <v>26</v>
      </c>
      <c r="D12" s="11" t="s">
        <v>27</v>
      </c>
      <c r="E12" s="11" t="s">
        <v>28</v>
      </c>
      <c r="F12" s="11" t="s">
        <v>29</v>
      </c>
      <c r="G12" s="11" t="s">
        <v>30</v>
      </c>
      <c r="H12" s="11" t="s">
        <v>31</v>
      </c>
      <c r="I12" s="11" t="s">
        <v>32</v>
      </c>
      <c r="J12" s="12" t="n">
        <v>5</v>
      </c>
      <c r="K12" s="12" t="n">
        <v>5</v>
      </c>
      <c r="L12" s="12" t="n">
        <v>2</v>
      </c>
      <c r="M12" s="12" t="n">
        <v>5</v>
      </c>
      <c r="N12" s="13" t="n">
        <f aca="false">ROUND(J12*$C$5+K12*$C$6+L12*$C$7+M12*$C$8,2)</f>
        <v>4.4</v>
      </c>
      <c r="O12" s="11" t="s">
        <v>33</v>
      </c>
      <c r="P12" s="11" t="s">
        <v>34</v>
      </c>
    </row>
    <row r="13" customFormat="false" ht="96" hidden="false" customHeight="true" outlineLevel="0" collapsed="false">
      <c r="A13" s="9" t="n">
        <f aca="false">RANK(N13,$N$12:$N$31,0)+COUNTIF($N$11:N12,N13)</f>
        <v>2</v>
      </c>
      <c r="B13" s="10" t="s">
        <v>35</v>
      </c>
      <c r="C13" s="11" t="s">
        <v>36</v>
      </c>
      <c r="D13" s="11" t="s">
        <v>37</v>
      </c>
      <c r="E13" s="11" t="s">
        <v>38</v>
      </c>
      <c r="F13" s="11" t="s">
        <v>39</v>
      </c>
      <c r="G13" s="11" t="s">
        <v>40</v>
      </c>
      <c r="H13" s="11" t="s">
        <v>41</v>
      </c>
      <c r="I13" s="11" t="s">
        <v>42</v>
      </c>
      <c r="J13" s="12" t="n">
        <v>4</v>
      </c>
      <c r="K13" s="12" t="n">
        <v>4</v>
      </c>
      <c r="L13" s="12" t="n">
        <v>4</v>
      </c>
      <c r="M13" s="12" t="n">
        <v>5</v>
      </c>
      <c r="N13" s="13" t="n">
        <f aca="false">ROUND(J13*$C$5+K13*$C$6+L13*$C$7+M13*$C$8,2)</f>
        <v>4.2</v>
      </c>
      <c r="O13" s="11" t="s">
        <v>43</v>
      </c>
      <c r="P13" s="11" t="s">
        <v>44</v>
      </c>
    </row>
    <row r="14" customFormat="false" ht="96" hidden="false" customHeight="true" outlineLevel="0" collapsed="false">
      <c r="A14" s="9" t="n">
        <f aca="false">RANK(N14,$N$12:$N$31,0)+COUNTIF($N$11:N13,N14)</f>
        <v>3</v>
      </c>
      <c r="B14" s="10" t="s">
        <v>45</v>
      </c>
      <c r="C14" s="11" t="s">
        <v>46</v>
      </c>
      <c r="D14" s="11" t="s">
        <v>47</v>
      </c>
      <c r="E14" s="11" t="s">
        <v>48</v>
      </c>
      <c r="F14" s="11" t="s">
        <v>49</v>
      </c>
      <c r="G14" s="11" t="s">
        <v>50</v>
      </c>
      <c r="H14" s="11" t="s">
        <v>51</v>
      </c>
      <c r="I14" s="11" t="s">
        <v>42</v>
      </c>
      <c r="J14" s="12" t="n">
        <v>5</v>
      </c>
      <c r="K14" s="12" t="n">
        <v>4</v>
      </c>
      <c r="L14" s="12" t="n">
        <v>3</v>
      </c>
      <c r="M14" s="12" t="n">
        <v>4</v>
      </c>
      <c r="N14" s="13" t="n">
        <f aca="false">ROUND(J14*$C$5+K14*$C$6+L14*$C$7+M14*$C$8,2)</f>
        <v>4.2</v>
      </c>
      <c r="O14" s="11" t="s">
        <v>52</v>
      </c>
      <c r="P14" s="11" t="s">
        <v>53</v>
      </c>
    </row>
    <row r="15" customFormat="false" ht="96" hidden="false" customHeight="true" outlineLevel="0" collapsed="false">
      <c r="A15" s="9" t="n">
        <f aca="false">RANK(N15,$N$12:$N$31,0)+COUNTIF($N$11:N14,N15)</f>
        <v>4</v>
      </c>
      <c r="B15" s="10" t="s">
        <v>54</v>
      </c>
      <c r="C15" s="11" t="s">
        <v>55</v>
      </c>
      <c r="D15" s="11" t="s">
        <v>56</v>
      </c>
      <c r="E15" s="11" t="s">
        <v>57</v>
      </c>
      <c r="F15" s="11" t="s">
        <v>58</v>
      </c>
      <c r="G15" s="11" t="s">
        <v>59</v>
      </c>
      <c r="H15" s="11" t="s">
        <v>60</v>
      </c>
      <c r="I15" s="11" t="s">
        <v>61</v>
      </c>
      <c r="J15" s="12" t="n">
        <v>5</v>
      </c>
      <c r="K15" s="12" t="n">
        <v>4</v>
      </c>
      <c r="L15" s="12" t="n">
        <v>2</v>
      </c>
      <c r="M15" s="12" t="n">
        <v>5</v>
      </c>
      <c r="N15" s="13" t="n">
        <f aca="false">ROUND(J15*$C$5+K15*$C$6+L15*$C$7+M15*$C$8,2)</f>
        <v>4.2</v>
      </c>
      <c r="O15" s="11" t="s">
        <v>62</v>
      </c>
      <c r="P15" s="11" t="s">
        <v>63</v>
      </c>
    </row>
    <row r="16" customFormat="false" ht="96" hidden="false" customHeight="true" outlineLevel="0" collapsed="false">
      <c r="A16" s="9" t="n">
        <f aca="false">RANK(N16,$N$12:$N$31,0)+COUNTIF($N$11:N15,N16)</f>
        <v>5</v>
      </c>
      <c r="B16" s="10" t="s">
        <v>64</v>
      </c>
      <c r="C16" s="11" t="s">
        <v>65</v>
      </c>
      <c r="D16" s="11" t="s">
        <v>66</v>
      </c>
      <c r="E16" s="11" t="s">
        <v>67</v>
      </c>
      <c r="F16" s="11" t="s">
        <v>68</v>
      </c>
      <c r="G16" s="11" t="s">
        <v>69</v>
      </c>
      <c r="H16" s="11" t="s">
        <v>70</v>
      </c>
      <c r="I16" s="11" t="s">
        <v>71</v>
      </c>
      <c r="J16" s="12" t="n">
        <v>5</v>
      </c>
      <c r="K16" s="12" t="n">
        <v>4</v>
      </c>
      <c r="L16" s="12" t="n">
        <v>2</v>
      </c>
      <c r="M16" s="12" t="n">
        <v>5</v>
      </c>
      <c r="N16" s="13" t="n">
        <f aca="false">ROUND(J16*$C$5+K16*$C$6+L16*$C$7+M16*$C$8,2)</f>
        <v>4.2</v>
      </c>
      <c r="O16" s="11" t="s">
        <v>72</v>
      </c>
      <c r="P16" s="11" t="s">
        <v>73</v>
      </c>
    </row>
    <row r="17" customFormat="false" ht="96" hidden="false" customHeight="true" outlineLevel="0" collapsed="false">
      <c r="A17" s="9" t="n">
        <f aca="false">RANK(N17,$N$12:$N$31,0)+COUNTIF($N$11:N16,N17)</f>
        <v>6</v>
      </c>
      <c r="B17" s="10" t="s">
        <v>74</v>
      </c>
      <c r="C17" s="11" t="s">
        <v>75</v>
      </c>
      <c r="D17" s="11" t="s">
        <v>76</v>
      </c>
      <c r="E17" s="11" t="s">
        <v>77</v>
      </c>
      <c r="F17" s="11" t="s">
        <v>78</v>
      </c>
      <c r="G17" s="11" t="s">
        <v>79</v>
      </c>
      <c r="H17" s="11" t="s">
        <v>80</v>
      </c>
      <c r="I17" s="11" t="s">
        <v>42</v>
      </c>
      <c r="J17" s="12" t="n">
        <v>4</v>
      </c>
      <c r="K17" s="12" t="n">
        <v>4</v>
      </c>
      <c r="L17" s="12" t="n">
        <v>4</v>
      </c>
      <c r="M17" s="12" t="n">
        <v>4</v>
      </c>
      <c r="N17" s="13" t="n">
        <f aca="false">ROUND(J17*$C$5+K17*$C$6+L17*$C$7+M17*$C$8,2)</f>
        <v>4</v>
      </c>
      <c r="O17" s="11" t="s">
        <v>81</v>
      </c>
      <c r="P17" s="11" t="s">
        <v>82</v>
      </c>
    </row>
    <row r="18" customFormat="false" ht="96" hidden="false" customHeight="true" outlineLevel="0" collapsed="false">
      <c r="A18" s="9" t="n">
        <f aca="false">RANK(N18,$N$12:$N$31,0)+COUNTIF($N$11:N17,N18)</f>
        <v>7</v>
      </c>
      <c r="B18" s="10" t="s">
        <v>83</v>
      </c>
      <c r="C18" s="11" t="s">
        <v>84</v>
      </c>
      <c r="D18" s="11" t="s">
        <v>85</v>
      </c>
      <c r="E18" s="11" t="s">
        <v>86</v>
      </c>
      <c r="F18" s="11" t="s">
        <v>87</v>
      </c>
      <c r="G18" s="11" t="s">
        <v>88</v>
      </c>
      <c r="H18" s="11" t="s">
        <v>89</v>
      </c>
      <c r="I18" s="11" t="s">
        <v>42</v>
      </c>
      <c r="J18" s="12" t="n">
        <v>4</v>
      </c>
      <c r="K18" s="12" t="n">
        <v>5</v>
      </c>
      <c r="L18" s="12" t="n">
        <v>2</v>
      </c>
      <c r="M18" s="12" t="n">
        <v>5</v>
      </c>
      <c r="N18" s="13" t="n">
        <f aca="false">ROUND(J18*$C$5+K18*$C$6+L18*$C$7+M18*$C$8,2)</f>
        <v>4</v>
      </c>
      <c r="O18" s="11" t="s">
        <v>90</v>
      </c>
      <c r="P18" s="11" t="s">
        <v>91</v>
      </c>
    </row>
    <row r="19" customFormat="false" ht="96" hidden="false" customHeight="true" outlineLevel="0" collapsed="false">
      <c r="A19" s="9" t="n">
        <f aca="false">RANK(N19,$N$12:$N$31,0)+COUNTIF($N$11:N18,N19)</f>
        <v>8</v>
      </c>
      <c r="B19" s="10" t="s">
        <v>92</v>
      </c>
      <c r="C19" s="11" t="s">
        <v>93</v>
      </c>
      <c r="D19" s="11" t="s">
        <v>37</v>
      </c>
      <c r="E19" s="11" t="s">
        <v>94</v>
      </c>
      <c r="F19" s="11" t="s">
        <v>95</v>
      </c>
      <c r="G19" s="11" t="s">
        <v>96</v>
      </c>
      <c r="H19" s="11" t="s">
        <v>97</v>
      </c>
      <c r="I19" s="11" t="s">
        <v>71</v>
      </c>
      <c r="J19" s="12" t="n">
        <v>4</v>
      </c>
      <c r="K19" s="12" t="n">
        <v>4</v>
      </c>
      <c r="L19" s="12" t="n">
        <v>3</v>
      </c>
      <c r="M19" s="12" t="n">
        <v>4</v>
      </c>
      <c r="N19" s="13" t="n">
        <f aca="false">ROUND(J19*$C$5+K19*$C$6+L19*$C$7+M19*$C$8,2)</f>
        <v>3.8</v>
      </c>
      <c r="O19" s="11" t="s">
        <v>98</v>
      </c>
      <c r="P19" s="11" t="s">
        <v>99</v>
      </c>
    </row>
    <row r="20" customFormat="false" ht="96" hidden="false" customHeight="true" outlineLevel="0" collapsed="false">
      <c r="A20" s="9" t="n">
        <f aca="false">RANK(N20,$N$12:$N$31,0)+COUNTIF($N$11:N19,N20)</f>
        <v>9</v>
      </c>
      <c r="B20" s="10" t="s">
        <v>100</v>
      </c>
      <c r="C20" s="11" t="s">
        <v>101</v>
      </c>
      <c r="D20" s="11" t="s">
        <v>102</v>
      </c>
      <c r="E20" s="11" t="s">
        <v>77</v>
      </c>
      <c r="F20" s="11" t="s">
        <v>103</v>
      </c>
      <c r="G20" s="11" t="s">
        <v>104</v>
      </c>
      <c r="H20" s="11" t="s">
        <v>105</v>
      </c>
      <c r="I20" s="11" t="s">
        <v>71</v>
      </c>
      <c r="J20" s="12" t="n">
        <v>4</v>
      </c>
      <c r="K20" s="12" t="n">
        <v>4</v>
      </c>
      <c r="L20" s="12" t="n">
        <v>3</v>
      </c>
      <c r="M20" s="12" t="n">
        <v>4</v>
      </c>
      <c r="N20" s="13" t="n">
        <f aca="false">ROUND(J20*$C$5+K20*$C$6+L20*$C$7+M20*$C$8,2)</f>
        <v>3.8</v>
      </c>
      <c r="O20" s="11" t="s">
        <v>106</v>
      </c>
      <c r="P20" s="11" t="s">
        <v>107</v>
      </c>
    </row>
    <row r="21" customFormat="false" ht="96" hidden="false" customHeight="true" outlineLevel="0" collapsed="false">
      <c r="A21" s="14" t="n">
        <f aca="false">RANK(N21,$N$12:$N$31,0)+COUNTIF($N$11:N20,N21)</f>
        <v>10</v>
      </c>
      <c r="B21" s="15" t="s">
        <v>108</v>
      </c>
      <c r="C21" s="16" t="s">
        <v>109</v>
      </c>
      <c r="D21" s="16" t="s">
        <v>110</v>
      </c>
      <c r="E21" s="16" t="s">
        <v>77</v>
      </c>
      <c r="F21" s="16" t="s">
        <v>111</v>
      </c>
      <c r="G21" s="16" t="s">
        <v>112</v>
      </c>
      <c r="H21" s="16" t="s">
        <v>113</v>
      </c>
      <c r="I21" s="16" t="s">
        <v>42</v>
      </c>
      <c r="J21" s="17" t="n">
        <v>4</v>
      </c>
      <c r="K21" s="17" t="n">
        <v>4</v>
      </c>
      <c r="L21" s="17" t="n">
        <v>2</v>
      </c>
      <c r="M21" s="17" t="n">
        <v>5</v>
      </c>
      <c r="N21" s="18" t="n">
        <f aca="false">ROUND(J21*$C$5+K21*$C$6+L21*$C$7+M21*$C$8,2)</f>
        <v>3.8</v>
      </c>
      <c r="O21" s="16" t="s">
        <v>114</v>
      </c>
      <c r="P21" s="16" t="s">
        <v>115</v>
      </c>
    </row>
    <row r="22" customFormat="false" ht="96" hidden="false" customHeight="true" outlineLevel="0" collapsed="false">
      <c r="A22" s="9" t="n">
        <f aca="false">RANK(N22,$N$12:$N$31,0)+COUNTIF($N$11:N21,N22)</f>
        <v>11</v>
      </c>
      <c r="B22" s="10" t="s">
        <v>116</v>
      </c>
      <c r="C22" s="11" t="s">
        <v>117</v>
      </c>
      <c r="D22" s="11" t="s">
        <v>27</v>
      </c>
      <c r="E22" s="11" t="s">
        <v>118</v>
      </c>
      <c r="F22" s="11" t="s">
        <v>119</v>
      </c>
      <c r="G22" s="11" t="s">
        <v>120</v>
      </c>
      <c r="H22" s="11" t="s">
        <v>121</v>
      </c>
      <c r="I22" s="11" t="s">
        <v>61</v>
      </c>
      <c r="J22" s="12" t="n">
        <v>4</v>
      </c>
      <c r="K22" s="12" t="n">
        <v>4</v>
      </c>
      <c r="L22" s="12" t="n">
        <v>2</v>
      </c>
      <c r="M22" s="12" t="n">
        <v>5</v>
      </c>
      <c r="N22" s="13" t="n">
        <f aca="false">ROUND(J22*$C$5+K22*$C$6+L22*$C$7+M22*$C$8,2)</f>
        <v>3.8</v>
      </c>
      <c r="O22" s="11" t="s">
        <v>122</v>
      </c>
      <c r="P22" s="11" t="s">
        <v>123</v>
      </c>
    </row>
    <row r="23" customFormat="false" ht="96" hidden="false" customHeight="true" outlineLevel="0" collapsed="false">
      <c r="A23" s="9" t="n">
        <f aca="false">RANK(N23,$N$12:$N$31,0)+COUNTIF($N$11:N22,N23)</f>
        <v>12</v>
      </c>
      <c r="B23" s="10" t="s">
        <v>124</v>
      </c>
      <c r="C23" s="11" t="s">
        <v>125</v>
      </c>
      <c r="D23" s="11" t="s">
        <v>66</v>
      </c>
      <c r="E23" s="11" t="s">
        <v>38</v>
      </c>
      <c r="F23" s="11" t="s">
        <v>126</v>
      </c>
      <c r="G23" s="11" t="s">
        <v>127</v>
      </c>
      <c r="H23" s="11" t="s">
        <v>128</v>
      </c>
      <c r="I23" s="11" t="s">
        <v>61</v>
      </c>
      <c r="J23" s="12" t="n">
        <v>4</v>
      </c>
      <c r="K23" s="12" t="n">
        <v>4</v>
      </c>
      <c r="L23" s="12" t="n">
        <v>3</v>
      </c>
      <c r="M23" s="12" t="n">
        <v>3</v>
      </c>
      <c r="N23" s="13" t="n">
        <f aca="false">ROUND(J23*$C$5+K23*$C$6+L23*$C$7+M23*$C$8,2)</f>
        <v>3.6</v>
      </c>
      <c r="O23" s="11" t="s">
        <v>129</v>
      </c>
      <c r="P23" s="11" t="s">
        <v>130</v>
      </c>
    </row>
    <row r="24" customFormat="false" ht="96" hidden="false" customHeight="true" outlineLevel="0" collapsed="false">
      <c r="A24" s="9" t="n">
        <f aca="false">RANK(N24,$N$12:$N$31,0)+COUNTIF($N$11:N23,N24)</f>
        <v>13</v>
      </c>
      <c r="B24" s="10" t="s">
        <v>131</v>
      </c>
      <c r="C24" s="11" t="s">
        <v>132</v>
      </c>
      <c r="D24" s="11" t="s">
        <v>133</v>
      </c>
      <c r="E24" s="11" t="s">
        <v>77</v>
      </c>
      <c r="F24" s="11" t="s">
        <v>134</v>
      </c>
      <c r="G24" s="11" t="s">
        <v>135</v>
      </c>
      <c r="H24" s="11" t="s">
        <v>136</v>
      </c>
      <c r="I24" s="11" t="s">
        <v>61</v>
      </c>
      <c r="J24" s="12" t="n">
        <v>4</v>
      </c>
      <c r="K24" s="12" t="n">
        <v>4</v>
      </c>
      <c r="L24" s="12" t="n">
        <v>3</v>
      </c>
      <c r="M24" s="12" t="n">
        <v>3</v>
      </c>
      <c r="N24" s="13" t="n">
        <f aca="false">ROUND(J24*$C$5+K24*$C$6+L24*$C$7+M24*$C$8,2)</f>
        <v>3.6</v>
      </c>
      <c r="O24" s="11" t="s">
        <v>137</v>
      </c>
      <c r="P24" s="11" t="s">
        <v>138</v>
      </c>
    </row>
    <row r="25" customFormat="false" ht="96" hidden="false" customHeight="true" outlineLevel="0" collapsed="false">
      <c r="A25" s="9" t="n">
        <f aca="false">RANK(N25,$N$12:$N$31,0)+COUNTIF($N$11:N24,N25)</f>
        <v>14</v>
      </c>
      <c r="B25" s="10" t="s">
        <v>139</v>
      </c>
      <c r="C25" s="11" t="s">
        <v>140</v>
      </c>
      <c r="D25" s="11" t="s">
        <v>141</v>
      </c>
      <c r="E25" s="11" t="s">
        <v>142</v>
      </c>
      <c r="F25" s="11" t="s">
        <v>143</v>
      </c>
      <c r="G25" s="11" t="s">
        <v>144</v>
      </c>
      <c r="H25" s="11" t="s">
        <v>145</v>
      </c>
      <c r="I25" s="11" t="s">
        <v>146</v>
      </c>
      <c r="J25" s="12" t="n">
        <v>4</v>
      </c>
      <c r="K25" s="12" t="n">
        <v>4</v>
      </c>
      <c r="L25" s="12" t="n">
        <v>2</v>
      </c>
      <c r="M25" s="12" t="n">
        <v>4</v>
      </c>
      <c r="N25" s="13" t="n">
        <f aca="false">ROUND(J25*$C$5+K25*$C$6+L25*$C$7+M25*$C$8,2)</f>
        <v>3.6</v>
      </c>
      <c r="O25" s="11" t="s">
        <v>147</v>
      </c>
      <c r="P25" s="11" t="s">
        <v>148</v>
      </c>
    </row>
    <row r="26" customFormat="false" ht="96" hidden="false" customHeight="true" outlineLevel="0" collapsed="false">
      <c r="A26" s="9" t="n">
        <f aca="false">RANK(N26,$N$12:$N$31,0)+COUNTIF($N$11:N25,N26)</f>
        <v>15</v>
      </c>
      <c r="B26" s="10" t="s">
        <v>149</v>
      </c>
      <c r="C26" s="11" t="s">
        <v>150</v>
      </c>
      <c r="D26" s="11" t="s">
        <v>151</v>
      </c>
      <c r="E26" s="11" t="s">
        <v>152</v>
      </c>
      <c r="F26" s="11" t="s">
        <v>153</v>
      </c>
      <c r="G26" s="11" t="s">
        <v>154</v>
      </c>
      <c r="H26" s="11" t="s">
        <v>155</v>
      </c>
      <c r="I26" s="11" t="s">
        <v>42</v>
      </c>
      <c r="J26" s="12" t="n">
        <v>3</v>
      </c>
      <c r="K26" s="12" t="n">
        <v>3</v>
      </c>
      <c r="L26" s="12" t="n">
        <v>5</v>
      </c>
      <c r="M26" s="12" t="n">
        <v>3</v>
      </c>
      <c r="N26" s="13" t="n">
        <f aca="false">ROUND(J26*$C$5+K26*$C$6+L26*$C$7+M26*$C$8,2)</f>
        <v>3.4</v>
      </c>
      <c r="O26" s="11" t="s">
        <v>156</v>
      </c>
      <c r="P26" s="11" t="s">
        <v>157</v>
      </c>
    </row>
    <row r="27" customFormat="false" ht="96" hidden="false" customHeight="true" outlineLevel="0" collapsed="false">
      <c r="A27" s="9" t="n">
        <f aca="false">RANK(N27,$N$12:$N$31,0)+COUNTIF($N$11:N26,N27)</f>
        <v>16</v>
      </c>
      <c r="B27" s="10" t="s">
        <v>158</v>
      </c>
      <c r="C27" s="11" t="s">
        <v>159</v>
      </c>
      <c r="D27" s="11" t="s">
        <v>160</v>
      </c>
      <c r="E27" s="11" t="s">
        <v>38</v>
      </c>
      <c r="F27" s="11" t="s">
        <v>161</v>
      </c>
      <c r="G27" s="11" t="s">
        <v>162</v>
      </c>
      <c r="H27" s="11" t="s">
        <v>163</v>
      </c>
      <c r="I27" s="11" t="s">
        <v>61</v>
      </c>
      <c r="J27" s="12" t="n">
        <v>4</v>
      </c>
      <c r="K27" s="12" t="n">
        <v>4</v>
      </c>
      <c r="L27" s="12" t="n">
        <v>2</v>
      </c>
      <c r="M27" s="12" t="n">
        <v>3</v>
      </c>
      <c r="N27" s="13" t="n">
        <f aca="false">ROUND(J27*$C$5+K27*$C$6+L27*$C$7+M27*$C$8,2)</f>
        <v>3.4</v>
      </c>
      <c r="O27" s="11" t="s">
        <v>164</v>
      </c>
      <c r="P27" s="11" t="s">
        <v>165</v>
      </c>
    </row>
    <row r="28" customFormat="false" ht="96" hidden="false" customHeight="true" outlineLevel="0" collapsed="false">
      <c r="A28" s="9" t="n">
        <f aca="false">RANK(N28,$N$12:$N$31,0)+COUNTIF($N$11:N27,N28)</f>
        <v>17</v>
      </c>
      <c r="B28" s="10" t="s">
        <v>166</v>
      </c>
      <c r="C28" s="11" t="s">
        <v>167</v>
      </c>
      <c r="D28" s="11" t="s">
        <v>168</v>
      </c>
      <c r="E28" s="11" t="s">
        <v>57</v>
      </c>
      <c r="F28" s="11" t="s">
        <v>169</v>
      </c>
      <c r="G28" s="11" t="s">
        <v>170</v>
      </c>
      <c r="H28" s="11" t="s">
        <v>171</v>
      </c>
      <c r="I28" s="11" t="s">
        <v>172</v>
      </c>
      <c r="J28" s="12" t="n">
        <v>4</v>
      </c>
      <c r="K28" s="12" t="n">
        <v>4</v>
      </c>
      <c r="L28" s="12" t="n">
        <v>2</v>
      </c>
      <c r="M28" s="12" t="n">
        <v>3</v>
      </c>
      <c r="N28" s="13" t="n">
        <f aca="false">ROUND(J28*$C$5+K28*$C$6+L28*$C$7+M28*$C$8,2)</f>
        <v>3.4</v>
      </c>
      <c r="O28" s="11" t="s">
        <v>173</v>
      </c>
      <c r="P28" s="11" t="s">
        <v>174</v>
      </c>
    </row>
    <row r="29" customFormat="false" ht="96" hidden="false" customHeight="true" outlineLevel="0" collapsed="false">
      <c r="A29" s="9" t="n">
        <f aca="false">RANK(N29,$N$12:$N$31,0)+COUNTIF($N$11:N28,N29)</f>
        <v>18</v>
      </c>
      <c r="B29" s="10" t="s">
        <v>175</v>
      </c>
      <c r="C29" s="11" t="s">
        <v>176</v>
      </c>
      <c r="D29" s="11" t="s">
        <v>177</v>
      </c>
      <c r="E29" s="11" t="s">
        <v>178</v>
      </c>
      <c r="F29" s="11" t="s">
        <v>179</v>
      </c>
      <c r="G29" s="11" t="s">
        <v>180</v>
      </c>
      <c r="H29" s="11" t="s">
        <v>181</v>
      </c>
      <c r="I29" s="11" t="s">
        <v>42</v>
      </c>
      <c r="J29" s="12" t="n">
        <v>3</v>
      </c>
      <c r="K29" s="12" t="n">
        <v>3</v>
      </c>
      <c r="L29" s="12" t="n">
        <v>4</v>
      </c>
      <c r="M29" s="12" t="n">
        <v>3</v>
      </c>
      <c r="N29" s="13" t="n">
        <f aca="false">ROUND(J29*$C$5+K29*$C$6+L29*$C$7+M29*$C$8,2)</f>
        <v>3.2</v>
      </c>
      <c r="O29" s="11" t="s">
        <v>182</v>
      </c>
      <c r="P29" s="11" t="s">
        <v>183</v>
      </c>
    </row>
    <row r="30" customFormat="false" ht="96" hidden="false" customHeight="true" outlineLevel="0" collapsed="false">
      <c r="A30" s="9" t="n">
        <f aca="false">RANK(N30,$N$12:$N$31,0)+COUNTIF($N$11:N29,N30)</f>
        <v>19</v>
      </c>
      <c r="B30" s="10" t="s">
        <v>184</v>
      </c>
      <c r="C30" s="11" t="s">
        <v>185</v>
      </c>
      <c r="D30" s="11" t="s">
        <v>186</v>
      </c>
      <c r="E30" s="11" t="s">
        <v>187</v>
      </c>
      <c r="F30" s="11" t="s">
        <v>188</v>
      </c>
      <c r="G30" s="11" t="s">
        <v>189</v>
      </c>
      <c r="H30" s="11" t="s">
        <v>190</v>
      </c>
      <c r="I30" s="11" t="s">
        <v>71</v>
      </c>
      <c r="J30" s="12" t="n">
        <v>3</v>
      </c>
      <c r="K30" s="12" t="n">
        <v>3</v>
      </c>
      <c r="L30" s="12" t="n">
        <v>1</v>
      </c>
      <c r="M30" s="12" t="n">
        <v>4</v>
      </c>
      <c r="N30" s="13" t="n">
        <f aca="false">ROUND(J30*$C$5+K30*$C$6+L30*$C$7+M30*$C$8,2)</f>
        <v>2.8</v>
      </c>
      <c r="O30" s="11" t="s">
        <v>191</v>
      </c>
      <c r="P30" s="11" t="s">
        <v>192</v>
      </c>
    </row>
    <row r="31" customFormat="false" ht="96" hidden="false" customHeight="true" outlineLevel="0" collapsed="false">
      <c r="A31" s="9" t="n">
        <f aca="false">RANK(N31,$N$12:$N$31,0)+COUNTIF($N$11:N30,N31)</f>
        <v>20</v>
      </c>
      <c r="B31" s="10" t="s">
        <v>193</v>
      </c>
      <c r="C31" s="11" t="s">
        <v>194</v>
      </c>
      <c r="D31" s="11" t="s">
        <v>66</v>
      </c>
      <c r="E31" s="11" t="s">
        <v>195</v>
      </c>
      <c r="F31" s="11" t="s">
        <v>196</v>
      </c>
      <c r="G31" s="11" t="s">
        <v>197</v>
      </c>
      <c r="H31" s="11" t="s">
        <v>198</v>
      </c>
      <c r="I31" s="11" t="s">
        <v>42</v>
      </c>
      <c r="J31" s="12" t="n">
        <v>3</v>
      </c>
      <c r="K31" s="12" t="n">
        <v>3</v>
      </c>
      <c r="L31" s="12" t="n">
        <v>2</v>
      </c>
      <c r="M31" s="12" t="n">
        <v>3</v>
      </c>
      <c r="N31" s="13" t="n">
        <f aca="false">ROUND(J31*$C$5+K31*$C$6+L31*$C$7+M31*$C$8,2)</f>
        <v>2.8</v>
      </c>
      <c r="O31" s="11" t="s">
        <v>199</v>
      </c>
      <c r="P31" s="11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60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9" t="s">
        <v>201</v>
      </c>
      <c r="B1" s="19" t="s">
        <v>11</v>
      </c>
      <c r="C1" s="19" t="s">
        <v>13</v>
      </c>
      <c r="D1" s="19" t="s">
        <v>202</v>
      </c>
      <c r="E1" s="19" t="s">
        <v>203</v>
      </c>
    </row>
    <row r="2" customFormat="false" ht="22.35" hidden="false" customHeight="false" outlineLevel="0" collapsed="false">
      <c r="A2" s="20" t="s">
        <v>204</v>
      </c>
      <c r="B2" s="20" t="s">
        <v>205</v>
      </c>
      <c r="C2" s="20" t="s">
        <v>195</v>
      </c>
      <c r="D2" s="20" t="s">
        <v>206</v>
      </c>
      <c r="E2" s="20" t="s">
        <v>207</v>
      </c>
    </row>
    <row r="3" customFormat="false" ht="22.35" hidden="false" customHeight="false" outlineLevel="0" collapsed="false">
      <c r="A3" s="20" t="s">
        <v>208</v>
      </c>
      <c r="B3" s="20" t="s">
        <v>209</v>
      </c>
      <c r="C3" s="20" t="s">
        <v>210</v>
      </c>
      <c r="D3" s="20" t="s">
        <v>211</v>
      </c>
      <c r="E3" s="20" t="s">
        <v>212</v>
      </c>
    </row>
    <row r="4" customFormat="false" ht="15" hidden="false" customHeight="false" outlineLevel="0" collapsed="false">
      <c r="A4" s="20" t="s">
        <v>213</v>
      </c>
      <c r="B4" s="20" t="s">
        <v>214</v>
      </c>
      <c r="C4" s="20" t="s">
        <v>38</v>
      </c>
      <c r="D4" s="20" t="s">
        <v>215</v>
      </c>
      <c r="E4" s="20" t="s">
        <v>216</v>
      </c>
    </row>
    <row r="5" customFormat="false" ht="15" hidden="false" customHeight="false" outlineLevel="0" collapsed="false">
      <c r="A5" s="20" t="s">
        <v>217</v>
      </c>
      <c r="B5" s="20" t="s">
        <v>218</v>
      </c>
      <c r="C5" s="20" t="s">
        <v>195</v>
      </c>
      <c r="D5" s="20" t="s">
        <v>219</v>
      </c>
      <c r="E5" s="20" t="s">
        <v>220</v>
      </c>
    </row>
    <row r="6" customFormat="false" ht="22.35" hidden="false" customHeight="false" outlineLevel="0" collapsed="false">
      <c r="A6" s="20" t="s">
        <v>221</v>
      </c>
      <c r="B6" s="20" t="s">
        <v>222</v>
      </c>
      <c r="C6" s="20" t="s">
        <v>223</v>
      </c>
      <c r="D6" s="20" t="s">
        <v>224</v>
      </c>
      <c r="E6" s="20" t="s">
        <v>225</v>
      </c>
    </row>
    <row r="7" customFormat="false" ht="15" hidden="false" customHeight="false" outlineLevel="0" collapsed="false">
      <c r="A7" s="20" t="s">
        <v>226</v>
      </c>
      <c r="B7" s="20" t="s">
        <v>227</v>
      </c>
      <c r="C7" s="20" t="s">
        <v>142</v>
      </c>
      <c r="D7" s="20" t="s">
        <v>228</v>
      </c>
      <c r="E7" s="20" t="s">
        <v>229</v>
      </c>
    </row>
    <row r="8" customFormat="false" ht="15" hidden="false" customHeight="false" outlineLevel="0" collapsed="false">
      <c r="A8" s="20" t="s">
        <v>230</v>
      </c>
      <c r="B8" s="20" t="s">
        <v>231</v>
      </c>
      <c r="C8" s="20" t="s">
        <v>232</v>
      </c>
      <c r="D8" s="20" t="s">
        <v>233</v>
      </c>
      <c r="E8" s="20" t="s">
        <v>234</v>
      </c>
    </row>
    <row r="9" customFormat="false" ht="22.35" hidden="false" customHeight="false" outlineLevel="0" collapsed="false">
      <c r="A9" s="20" t="s">
        <v>235</v>
      </c>
      <c r="B9" s="20" t="s">
        <v>236</v>
      </c>
      <c r="C9" s="20" t="s">
        <v>210</v>
      </c>
      <c r="D9" s="20" t="s">
        <v>237</v>
      </c>
      <c r="E9" s="20" t="s">
        <v>238</v>
      </c>
    </row>
    <row r="10" customFormat="false" ht="22.35" hidden="false" customHeight="false" outlineLevel="0" collapsed="false">
      <c r="A10" s="20" t="s">
        <v>239</v>
      </c>
      <c r="B10" s="20" t="s">
        <v>240</v>
      </c>
      <c r="C10" s="20" t="s">
        <v>142</v>
      </c>
      <c r="D10" s="20" t="s">
        <v>241</v>
      </c>
      <c r="E10" s="20" t="s">
        <v>242</v>
      </c>
    </row>
    <row r="11" customFormat="false" ht="22.35" hidden="false" customHeight="false" outlineLevel="0" collapsed="false">
      <c r="A11" s="20" t="s">
        <v>243</v>
      </c>
      <c r="B11" s="20" t="s">
        <v>218</v>
      </c>
      <c r="C11" s="20" t="s">
        <v>244</v>
      </c>
      <c r="D11" s="20" t="s">
        <v>245</v>
      </c>
      <c r="E11" s="20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1" t="s">
        <v>247</v>
      </c>
    </row>
    <row r="2" customFormat="false" ht="26.85" hidden="false" customHeight="false" outlineLevel="0" collapsed="false">
      <c r="A2" s="22" t="s">
        <v>248</v>
      </c>
    </row>
    <row r="3" customFormat="false" ht="39.55" hidden="false" customHeight="false" outlineLevel="0" collapsed="false">
      <c r="A3" s="22" t="s">
        <v>249</v>
      </c>
    </row>
    <row r="4" customFormat="false" ht="26.85" hidden="false" customHeight="false" outlineLevel="0" collapsed="false">
      <c r="A4" s="22" t="s">
        <v>250</v>
      </c>
    </row>
    <row r="5" customFormat="false" ht="15" hidden="false" customHeight="false" outlineLevel="0" collapsed="false">
      <c r="A5" s="22" t="s">
        <v>251</v>
      </c>
    </row>
    <row r="6" customFormat="false" ht="26.85" hidden="false" customHeight="false" outlineLevel="0" collapsed="false">
      <c r="A6" s="22" t="s">
        <v>252</v>
      </c>
    </row>
    <row r="7" customFormat="false" ht="15" hidden="false" customHeight="false" outlineLevel="0" collapsed="false">
      <c r="A7" s="22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2026-10-08T22:43:30Z</dcterms:created>
  <dc:creator>openpyxl</dc:creator>
  <dc:description/>
  <dc:language>en-US</dc:language>
  <cp:lastModifiedBy/>
  <dcterms:modified xsi:type="dcterms:W3CDTF">2026-10-08T22:43:30Z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